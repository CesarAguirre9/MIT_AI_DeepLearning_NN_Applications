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ient Descent" sheetId="2" r:id="rId5"/>
  </sheets>
  <definedNames/>
  <calcPr/>
  <extLst>
    <ext uri="GoogleSheetsCustomDataVersion2">
      <go:sheetsCustomData xmlns:go="http://customooxmlschemas.google.com/" r:id="rId6" roundtripDataChecksum="2eQbh3gokDSlPvfdTgPY4122bblWzQVSaRx5mpfdUkc="/>
    </ext>
  </extLst>
</workbook>
</file>

<file path=xl/sharedStrings.xml><?xml version="1.0" encoding="utf-8"?>
<sst xmlns="http://schemas.openxmlformats.org/spreadsheetml/2006/main" count="25" uniqueCount="25">
  <si>
    <t>Iterations</t>
  </si>
  <si>
    <t>Intercept (θ₀)</t>
  </si>
  <si>
    <t>Slope (θ₁)</t>
  </si>
  <si>
    <t>J(θ)</t>
  </si>
  <si>
    <t>∂J/∂θ₀</t>
  </si>
  <si>
    <t>∂J/∂θ₁</t>
  </si>
  <si>
    <t>Alpha</t>
  </si>
  <si>
    <t>Lambda</t>
  </si>
  <si>
    <t>Data Points</t>
  </si>
  <si>
    <t>X</t>
  </si>
  <si>
    <t>Y</t>
  </si>
  <si>
    <t>X- avg(X)</t>
  </si>
  <si>
    <t>Y-avg(Y)</t>
  </si>
  <si>
    <t>(X-avg(X) . (Y-avg(Y))</t>
  </si>
  <si>
    <t>(X-avg(X))^2</t>
  </si>
  <si>
    <t>(Y-avg(Y))^2</t>
  </si>
  <si>
    <t>ŷ (GD)</t>
  </si>
  <si>
    <t>Calculations</t>
  </si>
  <si>
    <t xml:space="preserve"> </t>
  </si>
  <si>
    <t>Cross Check</t>
  </si>
  <si>
    <t>Slope</t>
  </si>
  <si>
    <t>Intercept</t>
  </si>
  <si>
    <t>R-squared</t>
  </si>
  <si>
    <t>Sum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</si>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</sst>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"/>
    <numFmt numFmtId="165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1" fillId="0" fontId="1" numFmtId="0" xfId="0" applyBorder="1" applyFont="1"/>
    <xf borderId="0" fillId="0" fontId="2" numFmtId="0" xfId="0" applyFont="1"/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2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2" xfId="0" applyBorder="1" applyFont="1" applyNumberFormat="1"/>
    <xf borderId="3" fillId="0" fontId="1" numFmtId="0" xfId="0" applyAlignment="1" applyBorder="1" applyFont="1">
      <alignment readingOrder="0"/>
    </xf>
    <xf borderId="3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10"/>
            <c:marker>
              <c:symbol val="none"/>
            </c:marker>
          </c:dPt>
          <c:xVal>
            <c:numRef>
              <c:f>Sheet1!$B$2:$B$12</c:f>
            </c:numRef>
          </c:xVal>
          <c:yVal>
            <c:numRef>
              <c:f>Sheet1!$C$2:$C$12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467943"/>
        <c:axId val="862231033"/>
      </c:scatterChart>
      <c:valAx>
        <c:axId val="36446794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2231033"/>
      </c:valAx>
      <c:valAx>
        <c:axId val="862231033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6446794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Dot Plot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9900">
                    <a:alpha val="5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Sheet1!$B$2:$B$10</c:f>
            </c:numRef>
          </c:xVal>
          <c:yVal>
            <c:numRef>
              <c:f>Sheet1!$C$2:$C$10</c:f>
              <c:numCache/>
            </c:numRef>
          </c:yVal>
        </c:ser>
        <c:ser>
          <c:idx val="1"/>
          <c:order val="1"/>
          <c:tx>
            <c:v>ŷ (GD)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Sheet1!$B$3:$B$10</c:f>
            </c:numRef>
          </c:xVal>
          <c:yVal>
            <c:numRef>
              <c:f>Sheet1!$I$3:$I$10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870406"/>
        <c:axId val="938977839"/>
      </c:scatterChart>
      <c:valAx>
        <c:axId val="8038704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977839"/>
      </c:valAx>
      <c:valAx>
        <c:axId val="938977839"/>
        <c:scaling>
          <c:orientation val="minMax"/>
          <c:max val="10.0"/>
          <c:min val="-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8704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14</xdr:row>
      <xdr:rowOff>9525</xdr:rowOff>
    </xdr:from>
    <xdr:ext cx="5715000" cy="3533775"/>
    <xdr:graphicFrame>
      <xdr:nvGraphicFramePr>
        <xdr:cNvPr id="139036952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14</xdr:row>
      <xdr:rowOff>9525</xdr:rowOff>
    </xdr:from>
    <xdr:ext cx="5715000" cy="3533775"/>
    <xdr:graphicFrame>
      <xdr:nvGraphicFramePr>
        <xdr:cNvPr id="134170417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7.0"/>
    <col customWidth="1" min="7" max="7" width="12.63"/>
    <col customWidth="1" min="10" max="10" width="2.88"/>
    <col customWidth="1" min="11" max="11" width="17.25"/>
  </cols>
  <sheetData>
    <row r="1" ht="15.75" customHeight="1">
      <c r="A1" s="6"/>
      <c r="B1" s="6" t="s">
        <v>9</v>
      </c>
      <c r="C1" s="6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8" t="s">
        <v>16</v>
      </c>
      <c r="K1" s="1" t="s">
        <v>17</v>
      </c>
      <c r="L1" s="1" t="s">
        <v>18</v>
      </c>
      <c r="M1" s="1" t="s">
        <v>19</v>
      </c>
    </row>
    <row r="2" ht="15.75" customHeight="1">
      <c r="A2" s="6"/>
      <c r="B2" s="6">
        <v>1.0</v>
      </c>
      <c r="C2" s="6">
        <v>4.0</v>
      </c>
      <c r="D2" s="9">
        <f t="shared" ref="D2:D10" si="2">B2-$B$12</f>
        <v>0.5</v>
      </c>
      <c r="E2" s="9">
        <f t="shared" ref="E2:E10" si="3">C2-$C$12</f>
        <v>0.9444444444</v>
      </c>
      <c r="F2" s="9">
        <f t="shared" ref="F2:F10" si="4">D2*E2</f>
        <v>0.4722222222</v>
      </c>
      <c r="G2" s="10">
        <f t="shared" ref="G2:H2" si="1">D2*D2</f>
        <v>0.25</v>
      </c>
      <c r="H2" s="9">
        <f t="shared" si="1"/>
        <v>0.8919753086</v>
      </c>
      <c r="I2" s="4">
        <f>'Gradient Descent'!$B$202 + 'Gradient Descent'!$C$202*B2</f>
        <v>3.644570704</v>
      </c>
      <c r="K2" s="1" t="s">
        <v>20</v>
      </c>
      <c r="L2" s="11">
        <f>F11/G11</f>
        <v>1.178030303</v>
      </c>
      <c r="M2" s="11">
        <f>SLOPE(C2:C10,B2:B10)</f>
        <v>1.178030303</v>
      </c>
    </row>
    <row r="3" ht="15.75" customHeight="1">
      <c r="A3" s="6"/>
      <c r="B3" s="6">
        <v>-2.0</v>
      </c>
      <c r="C3" s="6">
        <v>3.0</v>
      </c>
      <c r="D3" s="9">
        <f t="shared" si="2"/>
        <v>-2.5</v>
      </c>
      <c r="E3" s="9">
        <f t="shared" si="3"/>
        <v>-0.05555555556</v>
      </c>
      <c r="F3" s="9">
        <f t="shared" si="4"/>
        <v>0.1388888889</v>
      </c>
      <c r="G3" s="10">
        <f t="shared" ref="G3:H3" si="5">D3*D3</f>
        <v>6.25</v>
      </c>
      <c r="H3" s="9">
        <f t="shared" si="5"/>
        <v>0.003086419753</v>
      </c>
      <c r="I3" s="4">
        <f>'Gradient Descent'!$B$202 + 'Gradient Descent'!$C$202*B3</f>
        <v>0.1104797935</v>
      </c>
      <c r="K3" s="1" t="s">
        <v>21</v>
      </c>
      <c r="L3" s="11">
        <f>C12-L2*(B12)</f>
        <v>2.466540404</v>
      </c>
      <c r="M3" s="11">
        <f>INTERCEPT(C2:C10,B2:B10)</f>
        <v>2.466540404</v>
      </c>
    </row>
    <row r="4" ht="15.75" customHeight="1">
      <c r="A4" s="6"/>
      <c r="B4" s="6">
        <v>3.0</v>
      </c>
      <c r="C4" s="6">
        <v>6.0</v>
      </c>
      <c r="D4" s="9">
        <f t="shared" si="2"/>
        <v>2.5</v>
      </c>
      <c r="E4" s="9">
        <f t="shared" si="3"/>
        <v>2.944444444</v>
      </c>
      <c r="F4" s="9">
        <f t="shared" si="4"/>
        <v>7.361111111</v>
      </c>
      <c r="G4" s="10">
        <f t="shared" ref="G4:H4" si="6">D4*D4</f>
        <v>6.25</v>
      </c>
      <c r="H4" s="9">
        <f t="shared" si="6"/>
        <v>8.669753086</v>
      </c>
      <c r="I4" s="4">
        <f>'Gradient Descent'!$B$202 + 'Gradient Descent'!$C$202*B4</f>
        <v>6.00063131</v>
      </c>
      <c r="K4" s="1" t="s">
        <v>22</v>
      </c>
      <c r="L4" s="11">
        <f>((F11)^2)/(G11*H11)</f>
        <v>0.8089565305</v>
      </c>
      <c r="M4" s="11">
        <f>RSQ(C2:C10,B2:B10)</f>
        <v>0.8089565305</v>
      </c>
    </row>
    <row r="5" ht="15.75" customHeight="1">
      <c r="A5" s="6"/>
      <c r="B5" s="6">
        <v>4.5</v>
      </c>
      <c r="C5" s="6">
        <v>8.0</v>
      </c>
      <c r="D5" s="9">
        <f t="shared" si="2"/>
        <v>4</v>
      </c>
      <c r="E5" s="9">
        <f t="shared" si="3"/>
        <v>4.944444444</v>
      </c>
      <c r="F5" s="9">
        <f t="shared" si="4"/>
        <v>19.77777778</v>
      </c>
      <c r="G5" s="10">
        <f t="shared" ref="G5:H5" si="7">D5*D5</f>
        <v>16</v>
      </c>
      <c r="H5" s="9">
        <f t="shared" si="7"/>
        <v>24.44753086</v>
      </c>
      <c r="I5" s="4">
        <f>'Gradient Descent'!$B$202 + 'Gradient Descent'!$C$202*B5</f>
        <v>7.767676765</v>
      </c>
      <c r="L5" s="12"/>
    </row>
    <row r="6" ht="15.75" customHeight="1">
      <c r="A6" s="6"/>
      <c r="B6" s="6">
        <v>0.0</v>
      </c>
      <c r="C6" s="6">
        <v>2.0</v>
      </c>
      <c r="D6" s="9">
        <f t="shared" si="2"/>
        <v>-0.5</v>
      </c>
      <c r="E6" s="9">
        <f t="shared" si="3"/>
        <v>-1.055555556</v>
      </c>
      <c r="F6" s="9">
        <f t="shared" si="4"/>
        <v>0.5277777778</v>
      </c>
      <c r="G6" s="10">
        <f t="shared" ref="G6:H6" si="8">D6*D6</f>
        <v>0.25</v>
      </c>
      <c r="H6" s="9">
        <f t="shared" si="8"/>
        <v>1.114197531</v>
      </c>
      <c r="I6" s="4">
        <f>'Gradient Descent'!$B$202 + 'Gradient Descent'!$C$202*B6</f>
        <v>2.4665404</v>
      </c>
    </row>
    <row r="7" ht="15.75" customHeight="1">
      <c r="A7" s="6"/>
      <c r="B7" s="6">
        <v>-4.0</v>
      </c>
      <c r="C7" s="6">
        <v>-3.0</v>
      </c>
      <c r="D7" s="9">
        <f t="shared" si="2"/>
        <v>-4.5</v>
      </c>
      <c r="E7" s="9">
        <f t="shared" si="3"/>
        <v>-6.055555556</v>
      </c>
      <c r="F7" s="9">
        <f t="shared" si="4"/>
        <v>27.25</v>
      </c>
      <c r="G7" s="10">
        <f t="shared" ref="G7:H7" si="9">D7*D7</f>
        <v>20.25</v>
      </c>
      <c r="H7" s="9">
        <f t="shared" si="9"/>
        <v>36.66975309</v>
      </c>
      <c r="I7" s="4">
        <f>'Gradient Descent'!$B$202 + 'Gradient Descent'!$C$202*B7</f>
        <v>-2.245580813</v>
      </c>
    </row>
    <row r="8" ht="15.75" customHeight="1">
      <c r="A8" s="6"/>
      <c r="B8" s="6">
        <v>-1.0</v>
      </c>
      <c r="C8" s="6">
        <v>-2.0</v>
      </c>
      <c r="D8" s="9">
        <f t="shared" si="2"/>
        <v>-1.5</v>
      </c>
      <c r="E8" s="9">
        <f t="shared" si="3"/>
        <v>-5.055555556</v>
      </c>
      <c r="F8" s="9">
        <f t="shared" si="4"/>
        <v>7.583333333</v>
      </c>
      <c r="G8" s="10">
        <f t="shared" ref="G8:H8" si="10">D8*D8</f>
        <v>2.25</v>
      </c>
      <c r="H8" s="9">
        <f t="shared" si="10"/>
        <v>25.55864198</v>
      </c>
      <c r="I8" s="4">
        <f>'Gradient Descent'!$B$202 + 'Gradient Descent'!$C$202*B8</f>
        <v>1.288510097</v>
      </c>
    </row>
    <row r="9" ht="15.75" customHeight="1">
      <c r="A9" s="6"/>
      <c r="B9" s="6">
        <v>4.0</v>
      </c>
      <c r="C9" s="6">
        <v>7.0</v>
      </c>
      <c r="D9" s="9">
        <f t="shared" si="2"/>
        <v>3.5</v>
      </c>
      <c r="E9" s="9">
        <f t="shared" si="3"/>
        <v>3.944444444</v>
      </c>
      <c r="F9" s="9">
        <f t="shared" si="4"/>
        <v>13.80555556</v>
      </c>
      <c r="G9" s="10">
        <f t="shared" ref="G9:H9" si="11">D9*D9</f>
        <v>12.25</v>
      </c>
      <c r="H9" s="9">
        <f t="shared" si="11"/>
        <v>15.55864198</v>
      </c>
      <c r="I9" s="4">
        <f>'Gradient Descent'!$B$202 + 'Gradient Descent'!$C$202*B9</f>
        <v>7.178661613</v>
      </c>
    </row>
    <row r="10" ht="15.75" customHeight="1">
      <c r="A10" s="6"/>
      <c r="B10" s="6">
        <v>-1.0</v>
      </c>
      <c r="C10" s="6">
        <v>2.5</v>
      </c>
      <c r="D10" s="9">
        <f t="shared" si="2"/>
        <v>-1.5</v>
      </c>
      <c r="E10" s="9">
        <f t="shared" si="3"/>
        <v>-0.5555555556</v>
      </c>
      <c r="F10" s="9">
        <f t="shared" si="4"/>
        <v>0.8333333333</v>
      </c>
      <c r="G10" s="10">
        <f t="shared" ref="G10:H10" si="12">D10*D10</f>
        <v>2.25</v>
      </c>
      <c r="H10" s="9">
        <f t="shared" si="12"/>
        <v>0.3086419753</v>
      </c>
      <c r="I10" s="4">
        <f>'Gradient Descent'!$B$202 + 'Gradient Descent'!$C$202*B10</f>
        <v>1.288510097</v>
      </c>
    </row>
    <row r="11" ht="15.75" customHeight="1">
      <c r="A11" s="13" t="s">
        <v>23</v>
      </c>
      <c r="B11" s="14">
        <f t="shared" ref="B11:I11" si="13">SUM(B2:B10)</f>
        <v>4.5</v>
      </c>
      <c r="C11" s="14">
        <f t="shared" si="13"/>
        <v>27.5</v>
      </c>
      <c r="D11" s="15">
        <f t="shared" si="13"/>
        <v>0</v>
      </c>
      <c r="E11" s="15">
        <f t="shared" si="13"/>
        <v>0</v>
      </c>
      <c r="F11" s="15">
        <f t="shared" si="13"/>
        <v>77.75</v>
      </c>
      <c r="G11" s="15">
        <f t="shared" si="13"/>
        <v>66</v>
      </c>
      <c r="H11" s="15">
        <f t="shared" si="13"/>
        <v>113.2222222</v>
      </c>
      <c r="I11" s="15">
        <f t="shared" si="13"/>
        <v>27.49999997</v>
      </c>
    </row>
    <row r="12" ht="15.75" customHeight="1">
      <c r="A12" s="16" t="s">
        <v>24</v>
      </c>
      <c r="B12" s="17">
        <f t="shared" ref="B12:I12" si="14">AVERAGE(B2:B10)</f>
        <v>0.5</v>
      </c>
      <c r="C12" s="17">
        <f t="shared" si="14"/>
        <v>3.055555556</v>
      </c>
      <c r="D12" s="17">
        <f t="shared" si="14"/>
        <v>0</v>
      </c>
      <c r="E12" s="17">
        <f t="shared" si="14"/>
        <v>0</v>
      </c>
      <c r="F12" s="17">
        <f t="shared" si="14"/>
        <v>8.638888889</v>
      </c>
      <c r="G12" s="17">
        <f t="shared" si="14"/>
        <v>7.333333333</v>
      </c>
      <c r="H12" s="17">
        <f t="shared" si="14"/>
        <v>12.58024691</v>
      </c>
      <c r="I12" s="17">
        <f t="shared" si="14"/>
        <v>3.055555552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>
        <v>0.05</v>
      </c>
    </row>
    <row r="2">
      <c r="A2" s="1">
        <v>0.0</v>
      </c>
      <c r="B2" s="3">
        <v>0.0</v>
      </c>
      <c r="C2" s="3">
        <v>0.0</v>
      </c>
      <c r="D2" s="4">
        <f>SUMPRODUCT((B2+C2*Sheet1!$B$2:$B$10-Sheet1!$C$2:$C$10)^2)/$H$3+$H$2*C2^2</f>
        <v>21.91666667</v>
      </c>
      <c r="E2" s="4">
        <f>2/$H$3*SUMPRODUCT(B2+C2*Sheet1!$B$2:$B$10-Sheet1!$C$2:$C$10)</f>
        <v>-6.111111111</v>
      </c>
      <c r="F2" s="4">
        <f>2/$H$3*SUMPRODUCT((B2+C2*Sheet1!$B$2:$B$10-Sheet1!$C$2:$C$10)*Sheet1!$B$2:$B$10)+2*$H$2*C2</f>
        <v>-20.33333333</v>
      </c>
      <c r="G2" s="2" t="s">
        <v>7</v>
      </c>
      <c r="H2" s="2">
        <v>0.0</v>
      </c>
    </row>
    <row r="3">
      <c r="A3" s="1">
        <v>1.0</v>
      </c>
      <c r="B3" s="4">
        <f t="shared" ref="B3:C3" si="1">B2-$H$1*E2</f>
        <v>0.3055555556</v>
      </c>
      <c r="C3" s="4">
        <f t="shared" si="1"/>
        <v>1.016666667</v>
      </c>
      <c r="D3" s="4">
        <f>SUMPRODUCT((B3+C3*Sheet1!$B$2:$B$10-Sheet1!$C$2:$C$10)^2)/$H$3+$H$2*C3^2</f>
        <v>7.619390432</v>
      </c>
      <c r="E3" s="4">
        <f>2/$H$3*SUMPRODUCT(B3+C3*Sheet1!$B$2:$B$10-Sheet1!$C$2:$C$10)</f>
        <v>-4.483333333</v>
      </c>
      <c r="F3" s="4">
        <f>2/$H$3*SUMPRODUCT((B3+C3*Sheet1!$B$2:$B$10-Sheet1!$C$2:$C$10)*Sheet1!$B$2:$B$10)+2*$H$2*C3</f>
        <v>-4.608333333</v>
      </c>
      <c r="G3" s="2" t="s">
        <v>8</v>
      </c>
      <c r="H3" s="5">
        <f>count(Sheet1!B2:B10)</f>
        <v>9</v>
      </c>
    </row>
    <row r="4">
      <c r="A4" s="1">
        <v>2.0</v>
      </c>
      <c r="B4" s="4">
        <f t="shared" ref="B4:C4" si="2">B3-$H$1*E3</f>
        <v>0.5297222222</v>
      </c>
      <c r="C4" s="4">
        <f t="shared" si="2"/>
        <v>1.247083333</v>
      </c>
      <c r="D4" s="4">
        <f>SUMPRODUCT((B4+C4*Sheet1!$B$2:$B$10-Sheet1!$C$2:$C$10)^2)/$H$3+$H$2*C4^2</f>
        <v>6.05705529</v>
      </c>
      <c r="E4" s="4">
        <f>2/$H$3*SUMPRODUCT(B4+C4*Sheet1!$B$2:$B$10-Sheet1!$C$2:$C$10)</f>
        <v>-3.804583333</v>
      </c>
      <c r="F4" s="4">
        <f>2/$H$3*SUMPRODUCT((B4+C4*Sheet1!$B$2:$B$10-Sheet1!$C$2:$C$10)*Sheet1!$B$2:$B$10)+2*$H$2*C4</f>
        <v>-0.8895138889</v>
      </c>
    </row>
    <row r="5">
      <c r="A5" s="1">
        <v>3.0</v>
      </c>
      <c r="B5" s="4">
        <f t="shared" ref="B5:C5" si="3">B4-$H$1*E4</f>
        <v>0.7199513889</v>
      </c>
      <c r="C5" s="4">
        <f t="shared" si="3"/>
        <v>1.291559028</v>
      </c>
      <c r="D5" s="4">
        <f>SUMPRODUCT((B5+C5*Sheet1!$B$2:$B$10-Sheet1!$C$2:$C$10)^2)/$H$3+$H$2*C5^2</f>
        <v>5.353399032</v>
      </c>
      <c r="E5" s="4">
        <f>2/$H$3*SUMPRODUCT(B5+C5*Sheet1!$B$2:$B$10-Sheet1!$C$2:$C$10)</f>
        <v>-3.379649306</v>
      </c>
      <c r="F5" s="4">
        <f>2/$H$3*SUMPRODUCT((B5+C5*Sheet1!$B$2:$B$10-Sheet1!$C$2:$C$10)*Sheet1!$B$2:$B$10)+2*$H$2*C5</f>
        <v>-0.02473668981</v>
      </c>
    </row>
    <row r="6">
      <c r="A6" s="1">
        <v>4.0</v>
      </c>
      <c r="B6" s="4">
        <f t="shared" ref="B6:C6" si="4">B5-$H$1*E5</f>
        <v>0.8889338542</v>
      </c>
      <c r="C6" s="4">
        <f t="shared" si="4"/>
        <v>1.292795862</v>
      </c>
      <c r="D6" s="4">
        <f>SUMPRODUCT((B6+C6*Sheet1!$B$2:$B$10-Sheet1!$C$2:$C$10)^2)/$H$3+$H$2*C6^2</f>
        <v>4.811042643</v>
      </c>
      <c r="E6" s="4">
        <f>2/$H$3*SUMPRODUCT(B6+C6*Sheet1!$B$2:$B$10-Sheet1!$C$2:$C$10)</f>
        <v>-3.040447541</v>
      </c>
      <c r="F6" s="4">
        <f>2/$H$3*SUMPRODUCT((B6+C6*Sheet1!$B$2:$B$10-Sheet1!$C$2:$C$10)*Sheet1!$B$2:$B$10)+2*$H$2*C6</f>
        <v>0.1630044319</v>
      </c>
    </row>
    <row r="7">
      <c r="A7" s="1">
        <v>5.0</v>
      </c>
      <c r="B7" s="4">
        <f t="shared" ref="B7:C7" si="5">B6-$H$1*E6</f>
        <v>1.040956231</v>
      </c>
      <c r="C7" s="4">
        <f t="shared" si="5"/>
        <v>1.284645641</v>
      </c>
      <c r="D7" s="4">
        <f>SUMPRODUCT((B7+C7*Sheet1!$B$2:$B$10-Sheet1!$C$2:$C$10)^2)/$H$3+$H$2*C7^2</f>
        <v>4.369873576</v>
      </c>
      <c r="E7" s="4">
        <f>2/$H$3*SUMPRODUCT(B7+C7*Sheet1!$B$2:$B$10-Sheet1!$C$2:$C$10)</f>
        <v>-2.744553008</v>
      </c>
      <c r="F7" s="4">
        <f>2/$H$3*SUMPRODUCT((B7+C7*Sheet1!$B$2:$B$10-Sheet1!$C$2:$C$10)*Sheet1!$B$2:$B$10)+2*$H$2*C7</f>
        <v>0.1914151147</v>
      </c>
    </row>
    <row r="8">
      <c r="A8" s="1">
        <v>6.0</v>
      </c>
      <c r="B8" s="4">
        <f t="shared" ref="B8:C8" si="6">B7-$H$1*E7</f>
        <v>1.178183882</v>
      </c>
      <c r="C8" s="4">
        <f t="shared" si="6"/>
        <v>1.275074885</v>
      </c>
      <c r="D8" s="4">
        <f>SUMPRODUCT((B8+C8*Sheet1!$B$2:$B$10-Sheet1!$C$2:$C$10)^2)/$H$3+$H$2*C8^2</f>
        <v>4.009625713</v>
      </c>
      <c r="E8" s="4">
        <f>2/$H$3*SUMPRODUCT(B8+C8*Sheet1!$B$2:$B$10-Sheet1!$C$2:$C$10)</f>
        <v>-2.479668463</v>
      </c>
      <c r="F8" s="4">
        <f>2/$H$3*SUMPRODUCT((B8+C8*Sheet1!$B$2:$B$10-Sheet1!$C$2:$C$10)*Sheet1!$B$2:$B$10)+2*$H$2*C8</f>
        <v>0.1834863031</v>
      </c>
    </row>
    <row r="9">
      <c r="A9" s="1">
        <v>7.0</v>
      </c>
      <c r="B9" s="4">
        <f t="shared" ref="B9:C9" si="7">B8-$H$1*E8</f>
        <v>1.302167305</v>
      </c>
      <c r="C9" s="4">
        <f t="shared" si="7"/>
        <v>1.26590057</v>
      </c>
      <c r="D9" s="4">
        <f>SUMPRODUCT((B9+C9*Sheet1!$B$2:$B$10-Sheet1!$C$2:$C$10)^2)/$H$3+$H$2*C9^2</f>
        <v>3.715377268</v>
      </c>
      <c r="E9" s="4">
        <f>2/$H$3*SUMPRODUCT(B9+C9*Sheet1!$B$2:$B$10-Sheet1!$C$2:$C$10)</f>
        <v>-2.240875932</v>
      </c>
      <c r="F9" s="4">
        <f>2/$H$3*SUMPRODUCT((B9+C9*Sheet1!$B$2:$B$10-Sheet1!$C$2:$C$10)*Sheet1!$B$2:$B$10)+2*$H$2*C9</f>
        <v>0.1683259464</v>
      </c>
    </row>
    <row r="10">
      <c r="A10" s="1">
        <v>8.0</v>
      </c>
      <c r="B10" s="4">
        <f t="shared" ref="B10:C10" si="8">B9-$H$1*E9</f>
        <v>1.414211101</v>
      </c>
      <c r="C10" s="4">
        <f t="shared" si="8"/>
        <v>1.257484272</v>
      </c>
      <c r="D10" s="4">
        <f>SUMPRODUCT((B10+C10*Sheet1!$B$2:$B$10-Sheet1!$C$2:$C$10)^2)/$H$3+$H$2*C10^2</f>
        <v>3.475032316</v>
      </c>
      <c r="E10" s="4">
        <f>2/$H$3*SUMPRODUCT(B10+C10*Sheet1!$B$2:$B$10-Sheet1!$C$2:$C$10)</f>
        <v>-2.025204636</v>
      </c>
      <c r="F10" s="4">
        <f>2/$H$3*SUMPRODUCT((B10+C10*Sheet1!$B$2:$B$10-Sheet1!$C$2:$C$10)*Sheet1!$B$2:$B$10)+2*$H$2*C10</f>
        <v>0.152722567</v>
      </c>
    </row>
    <row r="11">
      <c r="A11" s="1">
        <v>9.0</v>
      </c>
      <c r="B11" s="4">
        <f t="shared" ref="B11:C11" si="9">B10-$H$1*E10</f>
        <v>1.515471333</v>
      </c>
      <c r="C11" s="4">
        <f t="shared" si="9"/>
        <v>1.249848144</v>
      </c>
      <c r="D11" s="4">
        <f>SUMPRODUCT((B11+C11*Sheet1!$B$2:$B$10-Sheet1!$C$2:$C$10)^2)/$H$3+$H$2*C11^2</f>
        <v>3.278716002</v>
      </c>
      <c r="E11" s="4">
        <f>2/$H$3*SUMPRODUCT(B11+C11*Sheet1!$B$2:$B$10-Sheet1!$C$2:$C$10)</f>
        <v>-1.830320301</v>
      </c>
      <c r="F11" s="4">
        <f>2/$H$3*SUMPRODUCT((B11+C11*Sheet1!$B$2:$B$10-Sheet1!$C$2:$C$10)*Sheet1!$B$2:$B$10)+2*$H$2*C11</f>
        <v>0.1381681855</v>
      </c>
    </row>
    <row r="12">
      <c r="A12" s="1">
        <v>10.0</v>
      </c>
      <c r="B12" s="4">
        <f t="shared" ref="B12:C12" si="10">B11-$H$1*E11</f>
        <v>1.606987348</v>
      </c>
      <c r="C12" s="4">
        <f t="shared" si="10"/>
        <v>1.242939735</v>
      </c>
      <c r="D12" s="4">
        <f>SUMPRODUCT((B12+C12*Sheet1!$B$2:$B$10-Sheet1!$C$2:$C$10)^2)/$H$3+$H$2*C12^2</f>
        <v>3.118362734</v>
      </c>
      <c r="E12" s="4">
        <f>2/$H$3*SUMPRODUCT(B12+C12*Sheet1!$B$2:$B$10-Sheet1!$C$2:$C$10)</f>
        <v>-1.65419668</v>
      </c>
      <c r="F12" s="4">
        <f>2/$H$3*SUMPRODUCT((B12+C12*Sheet1!$B$2:$B$10-Sheet1!$C$2:$C$10)*Sheet1!$B$2:$B$10)+2*$H$2*C12</f>
        <v>0.1249066599</v>
      </c>
    </row>
    <row r="13">
      <c r="A13" s="1">
        <v>11.0</v>
      </c>
      <c r="B13" s="4">
        <f t="shared" ref="B13:C13" si="11">B12-$H$1*E12</f>
        <v>1.689697182</v>
      </c>
      <c r="C13" s="4">
        <f t="shared" si="11"/>
        <v>1.236694402</v>
      </c>
      <c r="D13" s="4">
        <f>SUMPRODUCT((B13+C13*Sheet1!$B$2:$B$10-Sheet1!$C$2:$C$10)^2)/$H$3+$H$2*C13^2</f>
        <v>2.987384465</v>
      </c>
      <c r="E13" s="4">
        <f>2/$H$3*SUMPRODUCT(B13+C13*Sheet1!$B$2:$B$10-Sheet1!$C$2:$C$10)</f>
        <v>-1.495022345</v>
      </c>
      <c r="F13" s="4">
        <f>2/$H$3*SUMPRODUCT((B13+C13*Sheet1!$B$2:$B$10-Sheet1!$C$2:$C$10)*Sheet1!$B$2:$B$10)+2*$H$2*C13</f>
        <v>0.1128956101</v>
      </c>
    </row>
    <row r="14">
      <c r="A14" s="1">
        <v>12.0</v>
      </c>
      <c r="B14" s="4">
        <f t="shared" ref="B14:C14" si="12">B13-$H$1*E13</f>
        <v>1.764448299</v>
      </c>
      <c r="C14" s="4">
        <f t="shared" si="12"/>
        <v>1.231049621</v>
      </c>
      <c r="D14" s="4">
        <f>SUMPRODUCT((B14+C14*Sheet1!$B$2:$B$10-Sheet1!$C$2:$C$10)^2)/$H$3+$H$2*C14^2</f>
        <v>2.880400011</v>
      </c>
      <c r="E14" s="4">
        <f>2/$H$3*SUMPRODUCT(B14+C14*Sheet1!$B$2:$B$10-Sheet1!$C$2:$C$10)</f>
        <v>-1.351164891</v>
      </c>
      <c r="F14" s="4">
        <f>2/$H$3*SUMPRODUCT((B14+C14*Sheet1!$B$2:$B$10-Sheet1!$C$2:$C$10)*Sheet1!$B$2:$B$10)+2*$H$2*C14</f>
        <v>0.102034223</v>
      </c>
    </row>
    <row r="15">
      <c r="A15" s="1">
        <v>13.0</v>
      </c>
      <c r="B15" s="4">
        <f t="shared" ref="B15:C15" si="13">B14-$H$1*E14</f>
        <v>1.832006544</v>
      </c>
      <c r="C15" s="4">
        <f t="shared" si="13"/>
        <v>1.22594791</v>
      </c>
      <c r="D15" s="4">
        <f>SUMPRODUCT((B15+C15*Sheet1!$B$2:$B$10-Sheet1!$C$2:$C$10)^2)/$H$3+$H$2*C15^2</f>
        <v>2.793013963</v>
      </c>
      <c r="E15" s="4">
        <f>2/$H$3*SUMPRODUCT(B15+C15*Sheet1!$B$2:$B$10-Sheet1!$C$2:$C$10)</f>
        <v>-1.221150113</v>
      </c>
      <c r="F15" s="4">
        <f>2/$H$3*SUMPRODUCT((B15+C15*Sheet1!$B$2:$B$10-Sheet1!$C$2:$C$10)*Sheet1!$B$2:$B$10)+2*$H$2*C15</f>
        <v>0.09221651511</v>
      </c>
    </row>
    <row r="16">
      <c r="A16" s="1">
        <v>14.0</v>
      </c>
      <c r="B16" s="4">
        <f t="shared" ref="B16:C16" si="14">B15-$H$1*E15</f>
        <v>1.89306405</v>
      </c>
      <c r="C16" s="4">
        <f t="shared" si="14"/>
        <v>1.221337084</v>
      </c>
      <c r="D16" s="4">
        <f>SUMPRODUCT((B16+C16*Sheet1!$B$2:$B$10-Sheet1!$C$2:$C$10)^2)/$H$3+$H$2*C16^2</f>
        <v>2.721636102</v>
      </c>
      <c r="E16" s="4">
        <f>2/$H$3*SUMPRODUCT(B16+C16*Sheet1!$B$2:$B$10-Sheet1!$C$2:$C$10)</f>
        <v>-1.103645927</v>
      </c>
      <c r="F16" s="4">
        <f>2/$H$3*SUMPRODUCT((B16+C16*Sheet1!$B$2:$B$10-Sheet1!$C$2:$C$10)*Sheet1!$B$2:$B$10)+2*$H$2*C16</f>
        <v>0.08334316347</v>
      </c>
    </row>
    <row r="17">
      <c r="A17" s="1">
        <v>15.0</v>
      </c>
      <c r="B17" s="4">
        <f t="shared" ref="B17:C17" si="15">B16-$H$1*E16</f>
        <v>1.948246346</v>
      </c>
      <c r="C17" s="4">
        <f t="shared" si="15"/>
        <v>1.217169926</v>
      </c>
      <c r="D17" s="4">
        <f>SUMPRODUCT((B17+C17*Sheet1!$B$2:$B$10-Sheet1!$C$2:$C$10)^2)/$H$3+$H$2*C17^2</f>
        <v>2.663333899</v>
      </c>
      <c r="E17" s="4">
        <f>2/$H$3*SUMPRODUCT(B17+C17*Sheet1!$B$2:$B$10-Sheet1!$C$2:$C$10)</f>
        <v>-0.9974484929</v>
      </c>
      <c r="F17" s="4">
        <f>2/$H$3*SUMPRODUCT((B17+C17*Sheet1!$B$2:$B$10-Sheet1!$C$2:$C$10)*Sheet1!$B$2:$B$10)+2*$H$2*C17</f>
        <v>0.07532356088</v>
      </c>
    </row>
    <row r="18">
      <c r="A18" s="1">
        <v>16.0</v>
      </c>
      <c r="B18" s="4">
        <f t="shared" ref="B18:C18" si="16">B17-$H$1*E17</f>
        <v>1.998118771</v>
      </c>
      <c r="C18" s="4">
        <f t="shared" si="16"/>
        <v>1.213403748</v>
      </c>
      <c r="D18" s="4">
        <f>SUMPRODUCT((B18+C18*Sheet1!$B$2:$B$10-Sheet1!$C$2:$C$10)^2)/$H$3+$H$2*C18^2</f>
        <v>2.615712036</v>
      </c>
      <c r="E18" s="4">
        <f>2/$H$3*SUMPRODUCT(B18+C18*Sheet1!$B$2:$B$10-Sheet1!$C$2:$C$10)</f>
        <v>-0.9014698216</v>
      </c>
      <c r="F18" s="4">
        <f>2/$H$3*SUMPRODUCT((B18+C18*Sheet1!$B$2:$B$10-Sheet1!$C$2:$C$10)*Sheet1!$B$2:$B$10)+2*$H$2*C18</f>
        <v>0.06807561852</v>
      </c>
    </row>
    <row r="19">
      <c r="A19" s="1">
        <v>17.0</v>
      </c>
      <c r="B19" s="4">
        <f t="shared" ref="B19:C19" si="17">B18-$H$1*E18</f>
        <v>2.043192262</v>
      </c>
      <c r="C19" s="4">
        <f t="shared" si="17"/>
        <v>1.209999967</v>
      </c>
      <c r="D19" s="4">
        <f>SUMPRODUCT((B19+C19*Sheet1!$B$2:$B$10-Sheet1!$C$2:$C$10)^2)/$H$3+$H$2*C19^2</f>
        <v>2.576813987</v>
      </c>
      <c r="E19" s="4">
        <f>2/$H$3*SUMPRODUCT(B19+C19*Sheet1!$B$2:$B$10-Sheet1!$C$2:$C$10)</f>
        <v>-0.8147266204</v>
      </c>
      <c r="F19" s="4">
        <f>2/$H$3*SUMPRODUCT((B19+C19*Sheet1!$B$2:$B$10-Sheet1!$C$2:$C$10)*Sheet1!$B$2:$B$10)+2*$H$2*C19</f>
        <v>0.06152509889</v>
      </c>
    </row>
    <row r="20">
      <c r="A20" s="1">
        <v>18.0</v>
      </c>
      <c r="B20" s="4">
        <f t="shared" ref="B20:C20" si="18">B19-$H$1*E19</f>
        <v>2.083928593</v>
      </c>
      <c r="C20" s="4">
        <f t="shared" si="18"/>
        <v>1.206923712</v>
      </c>
      <c r="D20" s="4">
        <f>SUMPRODUCT((B20+C20*Sheet1!$B$2:$B$10-Sheet1!$C$2:$C$10)^2)/$H$3+$H$2*C20^2</f>
        <v>2.545041644</v>
      </c>
      <c r="E20" s="4">
        <f>2/$H$3*SUMPRODUCT(B20+C20*Sheet1!$B$2:$B$10-Sheet1!$C$2:$C$10)</f>
        <v>-0.7363302133</v>
      </c>
      <c r="F20" s="4">
        <f>2/$H$3*SUMPRODUCT((B20+C20*Sheet1!$B$2:$B$10-Sheet1!$C$2:$C$10)*Sheet1!$B$2:$B$10)+2*$H$2*C20</f>
        <v>0.05560489659</v>
      </c>
    </row>
    <row r="21">
      <c r="A21" s="1">
        <v>19.0</v>
      </c>
      <c r="B21" s="4">
        <f t="shared" ref="B21:C21" si="19">B20-$H$1*E20</f>
        <v>2.120745103</v>
      </c>
      <c r="C21" s="4">
        <f t="shared" si="19"/>
        <v>1.204143468</v>
      </c>
      <c r="D21" s="4">
        <f>SUMPRODUCT((B21+C21*Sheet1!$B$2:$B$10-Sheet1!$C$2:$C$10)^2)/$H$3+$H$2*C21^2</f>
        <v>2.519089653</v>
      </c>
      <c r="E21" s="4">
        <f>2/$H$3*SUMPRODUCT(B21+C21*Sheet1!$B$2:$B$10-Sheet1!$C$2:$C$10)</f>
        <v>-0.6654774368</v>
      </c>
      <c r="F21" s="4">
        <f>2/$H$3*SUMPRODUCT((B21+C21*Sheet1!$B$2:$B$10-Sheet1!$C$2:$C$10)*Sheet1!$B$2:$B$10)+2*$H$2*C21</f>
        <v>0.05025436067</v>
      </c>
    </row>
    <row r="22">
      <c r="A22" s="1">
        <v>20.0</v>
      </c>
      <c r="B22" s="4">
        <f t="shared" ref="B22:C22" si="20">B21-$H$1*E21</f>
        <v>2.154018975</v>
      </c>
      <c r="C22" s="4">
        <f t="shared" si="20"/>
        <v>1.201630749</v>
      </c>
      <c r="D22" s="4">
        <f>SUMPRODUCT((B22+C22*Sheet1!$B$2:$B$10-Sheet1!$C$2:$C$10)^2)/$H$3+$H$2*C22^2</f>
        <v>2.497891789</v>
      </c>
      <c r="E22" s="4">
        <f>2/$H$3*SUMPRODUCT(B22+C22*Sheet1!$B$2:$B$10-Sheet1!$C$2:$C$10)</f>
        <v>-0.6014424112</v>
      </c>
      <c r="F22" s="4">
        <f>2/$H$3*SUMPRODUCT((B22+C22*Sheet1!$B$2:$B$10-Sheet1!$C$2:$C$10)*Sheet1!$B$2:$B$10)+2*$H$2*C22</f>
        <v>0.04541867567</v>
      </c>
    </row>
    <row r="23">
      <c r="A23" s="1">
        <v>21.0</v>
      </c>
      <c r="B23" s="4">
        <f t="shared" ref="B23:C23" si="21">B22-$H$1*E22</f>
        <v>2.184091096</v>
      </c>
      <c r="C23" s="4">
        <f t="shared" si="21"/>
        <v>1.199359816</v>
      </c>
      <c r="D23" s="4">
        <f>SUMPRODUCT((B23+C23*Sheet1!$B$2:$B$10-Sheet1!$C$2:$C$10)^2)/$H$3+$H$2*C23^2</f>
        <v>2.480577147</v>
      </c>
      <c r="E23" s="4">
        <f>2/$H$3*SUMPRODUCT(B23+C23*Sheet1!$B$2:$B$10-Sheet1!$C$2:$C$10)</f>
        <v>-0.5435691038</v>
      </c>
      <c r="F23" s="4">
        <f>2/$H$3*SUMPRODUCT((B23+C23*Sheet1!$B$2:$B$10-Sheet1!$C$2:$C$10)*Sheet1!$B$2:$B$10)+2*$H$2*C23</f>
        <v>0.04104830051</v>
      </c>
    </row>
    <row r="24">
      <c r="A24" s="1">
        <v>22.0</v>
      </c>
      <c r="B24" s="4">
        <f t="shared" ref="B24:C24" si="22">B23-$H$1*E23</f>
        <v>2.211269551</v>
      </c>
      <c r="C24" s="4">
        <f t="shared" si="22"/>
        <v>1.197307401</v>
      </c>
      <c r="D24" s="4">
        <f>SUMPRODUCT((B24+C24*Sheet1!$B$2:$B$10-Sheet1!$C$2:$C$10)^2)/$H$3+$H$2*C24^2</f>
        <v>2.466434361</v>
      </c>
      <c r="E24" s="4">
        <f>2/$H$3*SUMPRODUCT(B24+C24*Sheet1!$B$2:$B$10-Sheet1!$C$2:$C$10)</f>
        <v>-0.4912646085</v>
      </c>
      <c r="F24" s="4">
        <f>2/$H$3*SUMPRODUCT((B24+C24*Sheet1!$B$2:$B$10-Sheet1!$C$2:$C$10)*Sheet1!$B$2:$B$10)+2*$H$2*C24</f>
        <v>0.03709846115</v>
      </c>
    </row>
    <row r="25">
      <c r="A25" s="1">
        <v>23.0</v>
      </c>
      <c r="B25" s="4">
        <f t="shared" ref="B25:C25" si="23">B24-$H$1*E24</f>
        <v>2.235832781</v>
      </c>
      <c r="C25" s="4">
        <f t="shared" si="23"/>
        <v>1.195452478</v>
      </c>
      <c r="D25" s="4">
        <f>SUMPRODUCT((B25+C25*Sheet1!$B$2:$B$10-Sheet1!$C$2:$C$10)^2)/$H$3+$H$2*C25^2</f>
        <v>2.454882382</v>
      </c>
      <c r="E25" s="4">
        <f>2/$H$3*SUMPRODUCT(B25+C25*Sheet1!$B$2:$B$10-Sheet1!$C$2:$C$10)</f>
        <v>-0.4439930707</v>
      </c>
      <c r="F25" s="4">
        <f>2/$H$3*SUMPRODUCT((B25+C25*Sheet1!$B$2:$B$10-Sheet1!$C$2:$C$10)*Sheet1!$B$2:$B$10)+2*$H$2*C25</f>
        <v>0.03352869187</v>
      </c>
    </row>
    <row r="26">
      <c r="A26" s="1">
        <v>24.0</v>
      </c>
      <c r="B26" s="4">
        <f t="shared" ref="B26:C26" si="24">B25-$H$1*E25</f>
        <v>2.258032435</v>
      </c>
      <c r="C26" s="4">
        <f t="shared" si="24"/>
        <v>1.193776043</v>
      </c>
      <c r="D26" s="4">
        <f>SUMPRODUCT((B26+C26*Sheet1!$B$2:$B$10-Sheet1!$C$2:$C$10)^2)/$H$3+$H$2*C26^2</f>
        <v>2.445446602</v>
      </c>
      <c r="E26" s="4">
        <f>2/$H$3*SUMPRODUCT(B26+C26*Sheet1!$B$2:$B$10-Sheet1!$C$2:$C$10)</f>
        <v>-0.4012701982</v>
      </c>
      <c r="F26" s="4">
        <f>2/$H$3*SUMPRODUCT((B26+C26*Sheet1!$B$2:$B$10-Sheet1!$C$2:$C$10)*Sheet1!$B$2:$B$10)+2*$H$2*C26</f>
        <v>0.03030242074</v>
      </c>
    </row>
    <row r="27">
      <c r="A27" s="1">
        <v>25.0</v>
      </c>
      <c r="B27" s="4">
        <f t="shared" ref="B27:C27" si="25">B26-$H$1*E26</f>
        <v>2.278095945</v>
      </c>
      <c r="C27" s="4">
        <f t="shared" si="25"/>
        <v>1.192260922</v>
      </c>
      <c r="D27" s="4">
        <f>SUMPRODUCT((B27+C27*Sheet1!$B$2:$B$10-Sheet1!$C$2:$C$10)^2)/$H$3+$H$2*C27^2</f>
        <v>2.437739356</v>
      </c>
      <c r="E27" s="4">
        <f>2/$H$3*SUMPRODUCT(B27+C27*Sheet1!$B$2:$B$10-Sheet1!$C$2:$C$10)</f>
        <v>-0.3626582994</v>
      </c>
      <c r="F27" s="4">
        <f>2/$H$3*SUMPRODUCT((B27+C27*Sheet1!$B$2:$B$10-Sheet1!$C$2:$C$10)*Sheet1!$B$2:$B$10)+2*$H$2*C27</f>
        <v>0.02738659492</v>
      </c>
    </row>
    <row r="28">
      <c r="A28" s="1">
        <v>26.0</v>
      </c>
      <c r="B28" s="4">
        <f t="shared" ref="B28:C28" si="26">B27-$H$1*E27</f>
        <v>2.29622886</v>
      </c>
      <c r="C28" s="4">
        <f t="shared" si="26"/>
        <v>1.190891592</v>
      </c>
      <c r="D28" s="4">
        <f>SUMPRODUCT((B28+C28*Sheet1!$B$2:$B$10-Sheet1!$C$2:$C$10)^2)/$H$3+$H$2*C28^2</f>
        <v>2.431443994</v>
      </c>
      <c r="E28" s="4">
        <f>2/$H$3*SUMPRODUCT(B28+C28*Sheet1!$B$2:$B$10-Sheet1!$C$2:$C$10)</f>
        <v>-0.3277617992</v>
      </c>
      <c r="F28" s="4">
        <f>2/$H$3*SUMPRODUCT((B28+C28*Sheet1!$B$2:$B$10-Sheet1!$C$2:$C$10)*Sheet1!$B$2:$B$10)+2*$H$2*C28</f>
        <v>0.02475134208</v>
      </c>
    </row>
    <row r="29">
      <c r="A29" s="1">
        <v>27.0</v>
      </c>
      <c r="B29" s="4">
        <f t="shared" ref="B29:C29" si="27">B28-$H$1*E28</f>
        <v>2.31261695</v>
      </c>
      <c r="C29" s="4">
        <f t="shared" si="27"/>
        <v>1.189654025</v>
      </c>
      <c r="D29" s="4">
        <f>SUMPRODUCT((B29+C29*Sheet1!$B$2:$B$10-Sheet1!$C$2:$C$10)^2)/$H$3+$H$2*C29^2</f>
        <v>2.426301875</v>
      </c>
      <c r="E29" s="4">
        <f>2/$H$3*SUMPRODUCT(B29+C29*Sheet1!$B$2:$B$10-Sheet1!$C$2:$C$10)</f>
        <v>-0.2962231864</v>
      </c>
      <c r="F29" s="4">
        <f>2/$H$3*SUMPRODUCT((B29+C29*Sheet1!$B$2:$B$10-Sheet1!$C$2:$C$10)*Sheet1!$B$2:$B$10)+2*$H$2*C29</f>
        <v>0.0223696643</v>
      </c>
    </row>
    <row r="30">
      <c r="A30" s="1">
        <v>28.0</v>
      </c>
      <c r="B30" s="4">
        <f t="shared" ref="B30:C30" si="28">B29-$H$1*E29</f>
        <v>2.327428109</v>
      </c>
      <c r="C30" s="4">
        <f t="shared" si="28"/>
        <v>1.188535542</v>
      </c>
      <c r="D30" s="4">
        <f>SUMPRODUCT((B30+C30*Sheet1!$B$2:$B$10-Sheet1!$C$2:$C$10)^2)/$H$3+$H$2*C30^2</f>
        <v>2.422101738</v>
      </c>
      <c r="E30" s="4">
        <f>2/$H$3*SUMPRODUCT(B30+C30*Sheet1!$B$2:$B$10-Sheet1!$C$2:$C$10)</f>
        <v>-0.267719351</v>
      </c>
      <c r="F30" s="4">
        <f>2/$H$3*SUMPRODUCT((B30+C30*Sheet1!$B$2:$B$10-Sheet1!$C$2:$C$10)*Sheet1!$B$2:$B$10)+2*$H$2*C30</f>
        <v>0.02021716153</v>
      </c>
    </row>
    <row r="31">
      <c r="A31" s="1">
        <v>29.0</v>
      </c>
      <c r="B31" s="4">
        <f t="shared" ref="B31:C31" si="29">B30-$H$1*E30</f>
        <v>2.340814077</v>
      </c>
      <c r="C31" s="4">
        <f t="shared" si="29"/>
        <v>1.187524684</v>
      </c>
      <c r="D31" s="4">
        <f>SUMPRODUCT((B31+C31*Sheet1!$B$2:$B$10-Sheet1!$C$2:$C$10)^2)/$H$3+$H$2*C31^2</f>
        <v>2.41867102</v>
      </c>
      <c r="E31" s="4">
        <f>2/$H$3*SUMPRODUCT(B31+C31*Sheet1!$B$2:$B$10-Sheet1!$C$2:$C$10)</f>
        <v>-0.241958274</v>
      </c>
      <c r="F31" s="4">
        <f>2/$H$3*SUMPRODUCT((B31+C31*Sheet1!$B$2:$B$10-Sheet1!$C$2:$C$10)*Sheet1!$B$2:$B$10)+2*$H$2*C31</f>
        <v>0.01827178158</v>
      </c>
    </row>
    <row r="32">
      <c r="A32" s="1">
        <v>30.0</v>
      </c>
      <c r="B32" s="4">
        <f t="shared" ref="B32:C32" si="30">B31-$H$1*E31</f>
        <v>2.35291199</v>
      </c>
      <c r="C32" s="4">
        <f t="shared" si="30"/>
        <v>1.186611095</v>
      </c>
      <c r="D32" s="4">
        <f>SUMPRODUCT((B32+C32*Sheet1!$B$2:$B$10-Sheet1!$C$2:$C$10)^2)/$H$3+$H$2*C32^2</f>
        <v>2.415868773</v>
      </c>
      <c r="E32" s="4">
        <f>2/$H$3*SUMPRODUCT(B32+C32*Sheet1!$B$2:$B$10-Sheet1!$C$2:$C$10)</f>
        <v>-0.2186760356</v>
      </c>
      <c r="F32" s="4">
        <f>2/$H$3*SUMPRODUCT((B32+C32*Sheet1!$B$2:$B$10-Sheet1!$C$2:$C$10)*Sheet1!$B$2:$B$10)+2*$H$2*C32</f>
        <v>0.01651359425</v>
      </c>
    </row>
    <row r="33">
      <c r="A33" s="1">
        <v>31.0</v>
      </c>
      <c r="B33" s="4">
        <f t="shared" ref="B33:C33" si="31">B32-$H$1*E32</f>
        <v>2.363845792</v>
      </c>
      <c r="C33" s="4">
        <f t="shared" si="31"/>
        <v>1.185785415</v>
      </c>
      <c r="D33" s="4">
        <f>SUMPRODUCT((B33+C33*Sheet1!$B$2:$B$10-Sheet1!$C$2:$C$10)^2)/$H$3+$H$2*C33^2</f>
        <v>2.413579868</v>
      </c>
      <c r="E33" s="4">
        <f>2/$H$3*SUMPRODUCT(B33+C33*Sheet1!$B$2:$B$10-Sheet1!$C$2:$C$10)</f>
        <v>-0.1976341118</v>
      </c>
      <c r="F33" s="4">
        <f>2/$H$3*SUMPRODUCT((B33+C33*Sheet1!$B$2:$B$10-Sheet1!$C$2:$C$10)*Sheet1!$B$2:$B$10)+2*$H$2*C33</f>
        <v>0.01492458706</v>
      </c>
    </row>
    <row r="34">
      <c r="A34" s="1">
        <v>32.0</v>
      </c>
      <c r="B34" s="4">
        <f t="shared" ref="B34:C34" si="32">B33-$H$1*E33</f>
        <v>2.373727498</v>
      </c>
      <c r="C34" s="4">
        <f t="shared" si="32"/>
        <v>1.185039186</v>
      </c>
      <c r="D34" s="4">
        <f>SUMPRODUCT((B34+C34*Sheet1!$B$2:$B$10-Sheet1!$C$2:$C$10)^2)/$H$3+$H$2*C34^2</f>
        <v>2.411710266</v>
      </c>
      <c r="E34" s="4">
        <f>2/$H$3*SUMPRODUCT(B34+C34*Sheet1!$B$2:$B$10-Sheet1!$C$2:$C$10)</f>
        <v>-0.17861693</v>
      </c>
      <c r="F34" s="4">
        <f>2/$H$3*SUMPRODUCT((B34+C34*Sheet1!$B$2:$B$10-Sheet1!$C$2:$C$10)*Sheet1!$B$2:$B$10)+2*$H$2*C34</f>
        <v>0.0134884808</v>
      </c>
    </row>
    <row r="35">
      <c r="A35" s="1">
        <v>33.0</v>
      </c>
      <c r="B35" s="4">
        <f t="shared" ref="B35:C35" si="33">B34-$H$1*E34</f>
        <v>2.382658344</v>
      </c>
      <c r="C35" s="4">
        <f t="shared" si="33"/>
        <v>1.184364762</v>
      </c>
      <c r="D35" s="4">
        <f>SUMPRODUCT((B35+C35*Sheet1!$B$2:$B$10-Sheet1!$C$2:$C$10)^2)/$H$3+$H$2*C35^2</f>
        <v>2.410183155</v>
      </c>
      <c r="E35" s="4">
        <f>2/$H$3*SUMPRODUCT(B35+C35*Sheet1!$B$2:$B$10-Sheet1!$C$2:$C$10)</f>
        <v>-0.161429661</v>
      </c>
      <c r="F35" s="4">
        <f>2/$H$3*SUMPRODUCT((B35+C35*Sheet1!$B$2:$B$10-Sheet1!$C$2:$C$10)*Sheet1!$B$2:$B$10)+2*$H$2*C35</f>
        <v>0.01219056269</v>
      </c>
    </row>
    <row r="36">
      <c r="A36" s="1">
        <v>34.0</v>
      </c>
      <c r="B36" s="4">
        <f t="shared" ref="B36:C36" si="34">B35-$H$1*E35</f>
        <v>2.390729827</v>
      </c>
      <c r="C36" s="4">
        <f t="shared" si="34"/>
        <v>1.183755234</v>
      </c>
      <c r="D36" s="4">
        <f>SUMPRODUCT((B36+C36*Sheet1!$B$2:$B$10-Sheet1!$C$2:$C$10)^2)/$H$3+$H$2*C36^2</f>
        <v>2.408935794</v>
      </c>
      <c r="E36" s="4">
        <f>2/$H$3*SUMPRODUCT(B36+C36*Sheet1!$B$2:$B$10-Sheet1!$C$2:$C$10)</f>
        <v>-0.145896223</v>
      </c>
      <c r="F36" s="4">
        <f>2/$H$3*SUMPRODUCT((B36+C36*Sheet1!$B$2:$B$10-Sheet1!$C$2:$C$10)*Sheet1!$B$2:$B$10)+2*$H$2*C36</f>
        <v>0.0110175357</v>
      </c>
    </row>
    <row r="37">
      <c r="A37" s="1">
        <v>35.0</v>
      </c>
      <c r="B37" s="4">
        <f t="shared" ref="B37:C37" si="35">B36-$H$1*E36</f>
        <v>2.398024638</v>
      </c>
      <c r="C37" s="4">
        <f t="shared" si="35"/>
        <v>1.183204357</v>
      </c>
      <c r="D37" s="4">
        <f>SUMPRODUCT((B37+C37*Sheet1!$B$2:$B$10-Sheet1!$C$2:$C$10)^2)/$H$3+$H$2*C37^2</f>
        <v>2.407916936</v>
      </c>
      <c r="E37" s="4">
        <f>2/$H$3*SUMPRODUCT(B37+C37*Sheet1!$B$2:$B$10-Sheet1!$C$2:$C$10)</f>
        <v>-0.1318574775</v>
      </c>
      <c r="F37" s="4">
        <f>2/$H$3*SUMPRODUCT((B37+C37*Sheet1!$B$2:$B$10-Sheet1!$C$2:$C$10)*Sheet1!$B$2:$B$10)+2*$H$2*C37</f>
        <v>0.00995738228</v>
      </c>
    </row>
    <row r="38">
      <c r="A38" s="1">
        <v>36.0</v>
      </c>
      <c r="B38" s="4">
        <f t="shared" ref="B38:C38" si="36">B37-$H$1*E37</f>
        <v>2.404617512</v>
      </c>
      <c r="C38" s="4">
        <f t="shared" si="36"/>
        <v>1.182706488</v>
      </c>
      <c r="D38" s="4">
        <f>SUMPRODUCT((B38+C38*Sheet1!$B$2:$B$10-Sheet1!$C$2:$C$10)^2)/$H$3+$H$2*C38^2</f>
        <v>2.407084722</v>
      </c>
      <c r="E38" s="4">
        <f>2/$H$3*SUMPRODUCT(B38+C38*Sheet1!$B$2:$B$10-Sheet1!$C$2:$C$10)</f>
        <v>-0.1191695989</v>
      </c>
      <c r="F38" s="4">
        <f>2/$H$3*SUMPRODUCT((B38+C38*Sheet1!$B$2:$B$10-Sheet1!$C$2:$C$10)*Sheet1!$B$2:$B$10)+2*$H$2*C38</f>
        <v>0.00899924126</v>
      </c>
    </row>
    <row r="39">
      <c r="A39" s="1">
        <v>37.0</v>
      </c>
      <c r="B39" s="4">
        <f t="shared" ref="B39:C39" si="37">B38-$H$1*E38</f>
        <v>2.410575992</v>
      </c>
      <c r="C39" s="4">
        <f t="shared" si="37"/>
        <v>1.182256526</v>
      </c>
      <c r="D39" s="4">
        <f>SUMPRODUCT((B39+C39*Sheet1!$B$2:$B$10-Sheet1!$C$2:$C$10)^2)/$H$3+$H$2*C39^2</f>
        <v>2.406404961</v>
      </c>
      <c r="E39" s="4">
        <f>2/$H$3*SUMPRODUCT(B39+C39*Sheet1!$B$2:$B$10-Sheet1!$C$2:$C$10)</f>
        <v>-0.1077026011</v>
      </c>
      <c r="F39" s="4">
        <f>2/$H$3*SUMPRODUCT((B39+C39*Sheet1!$B$2:$B$10-Sheet1!$C$2:$C$10)*Sheet1!$B$2:$B$10)+2*$H$2*C39</f>
        <v>0.008133296582</v>
      </c>
    </row>
    <row r="40">
      <c r="A40" s="1">
        <v>38.0</v>
      </c>
      <c r="B40" s="4">
        <f t="shared" ref="B40:C40" si="38">B39-$H$1*E39</f>
        <v>2.415961122</v>
      </c>
      <c r="C40" s="4">
        <f t="shared" si="38"/>
        <v>1.181849861</v>
      </c>
      <c r="D40" s="4">
        <f>SUMPRODUCT((B40+C40*Sheet1!$B$2:$B$10-Sheet1!$C$2:$C$10)^2)/$H$3+$H$2*C40^2</f>
        <v>2.405849725</v>
      </c>
      <c r="E40" s="4">
        <f>2/$H$3*SUMPRODUCT(B40+C40*Sheet1!$B$2:$B$10-Sheet1!$C$2:$C$10)</f>
        <v>-0.09733900578</v>
      </c>
      <c r="F40" s="4">
        <f>2/$H$3*SUMPRODUCT((B40+C40*Sheet1!$B$2:$B$10-Sheet1!$C$2:$C$10)*Sheet1!$B$2:$B$10)+2*$H$2*C40</f>
        <v>0.007350676727</v>
      </c>
    </row>
    <row r="41">
      <c r="A41" s="1">
        <v>39.0</v>
      </c>
      <c r="B41" s="4">
        <f t="shared" ref="B41:C41" si="39">B40-$H$1*E40</f>
        <v>2.420828073</v>
      </c>
      <c r="C41" s="4">
        <f t="shared" si="39"/>
        <v>1.181482327</v>
      </c>
      <c r="D41" s="4">
        <f>SUMPRODUCT((B41+C41*Sheet1!$B$2:$B$10-Sheet1!$C$2:$C$10)^2)/$H$3+$H$2*C41^2</f>
        <v>2.405396202</v>
      </c>
      <c r="E41" s="4">
        <f>2/$H$3*SUMPRODUCT(B41+C41*Sheet1!$B$2:$B$10-Sheet1!$C$2:$C$10)</f>
        <v>-0.08797263904</v>
      </c>
      <c r="F41" s="4">
        <f>2/$H$3*SUMPRODUCT((B41+C41*Sheet1!$B$2:$B$10-Sheet1!$C$2:$C$10)*Sheet1!$B$2:$B$10)+2*$H$2*C41</f>
        <v>0.006643363831</v>
      </c>
    </row>
    <row r="42">
      <c r="A42" s="1">
        <v>40.0</v>
      </c>
      <c r="B42" s="4">
        <f t="shared" ref="B42:C42" si="40">B41-$H$1*E41</f>
        <v>2.425226705</v>
      </c>
      <c r="C42" s="4">
        <f t="shared" si="40"/>
        <v>1.181150159</v>
      </c>
      <c r="D42" s="4">
        <f>SUMPRODUCT((B42+C42*Sheet1!$B$2:$B$10-Sheet1!$C$2:$C$10)^2)/$H$3+$H$2*C42^2</f>
        <v>2.405025759</v>
      </c>
      <c r="E42" s="4">
        <f>2/$H$3*SUMPRODUCT(B42+C42*Sheet1!$B$2:$B$10-Sheet1!$C$2:$C$10)</f>
        <v>-0.07950754333</v>
      </c>
      <c r="F42" s="4">
        <f>2/$H$3*SUMPRODUCT((B42+C42*Sheet1!$B$2:$B$10-Sheet1!$C$2:$C$10)*Sheet1!$B$2:$B$10)+2*$H$2*C42</f>
        <v>0.006004111545</v>
      </c>
    </row>
    <row r="43">
      <c r="A43" s="1">
        <v>41.0</v>
      </c>
      <c r="B43" s="4">
        <f t="shared" ref="B43:C43" si="41">B42-$H$1*E42</f>
        <v>2.429202082</v>
      </c>
      <c r="C43" s="4">
        <f t="shared" si="41"/>
        <v>1.180849953</v>
      </c>
      <c r="D43" s="4">
        <f>SUMPRODUCT((B43+C43*Sheet1!$B$2:$B$10-Sheet1!$C$2:$C$10)^2)/$H$3+$H$2*C43^2</f>
        <v>2.404723178</v>
      </c>
      <c r="E43" s="4">
        <f>2/$H$3*SUMPRODUCT(B43+C43*Sheet1!$B$2:$B$10-Sheet1!$C$2:$C$10)</f>
        <v>-0.07185699457</v>
      </c>
      <c r="F43" s="4">
        <f>2/$H$3*SUMPRODUCT((B43+C43*Sheet1!$B$2:$B$10-Sheet1!$C$2:$C$10)*Sheet1!$B$2:$B$10)+2*$H$2*C43</f>
        <v>0.00542637079</v>
      </c>
    </row>
    <row r="44">
      <c r="A44" s="1">
        <v>42.0</v>
      </c>
      <c r="B44" s="4">
        <f t="shared" ref="B44:C44" si="42">B43-$H$1*E43</f>
        <v>2.432794931</v>
      </c>
      <c r="C44" s="4">
        <f t="shared" si="42"/>
        <v>1.180578635</v>
      </c>
      <c r="D44" s="4">
        <f>SUMPRODUCT((B44+C44*Sheet1!$B$2:$B$10-Sheet1!$C$2:$C$10)^2)/$H$3+$H$2*C44^2</f>
        <v>2.404476026</v>
      </c>
      <c r="E44" s="4">
        <f>2/$H$3*SUMPRODUCT(B44+C44*Sheet1!$B$2:$B$10-Sheet1!$C$2:$C$10)</f>
        <v>-0.06494261365</v>
      </c>
      <c r="F44" s="4">
        <f>2/$H$3*SUMPRODUCT((B44+C44*Sheet1!$B$2:$B$10-Sheet1!$C$2:$C$10)*Sheet1!$B$2:$B$10)+2*$H$2*C44</f>
        <v>0.004904222669</v>
      </c>
    </row>
    <row r="45">
      <c r="A45" s="1">
        <v>43.0</v>
      </c>
      <c r="B45" s="4">
        <f t="shared" ref="B45:C45" si="43">B44-$H$1*E44</f>
        <v>2.436042062</v>
      </c>
      <c r="C45" s="4">
        <f t="shared" si="43"/>
        <v>1.180333423</v>
      </c>
      <c r="D45" s="4">
        <f>SUMPRODUCT((B45+C45*Sheet1!$B$2:$B$10-Sheet1!$C$2:$C$10)^2)/$H$3+$H$2*C45^2</f>
        <v>2.40427415</v>
      </c>
      <c r="E45" s="4">
        <f>2/$H$3*SUMPRODUCT(B45+C45*Sheet1!$B$2:$B$10-Sheet1!$C$2:$C$10)</f>
        <v>-0.05869356342</v>
      </c>
      <c r="F45" s="4">
        <f>2/$H$3*SUMPRODUCT((B45+C45*Sheet1!$B$2:$B$10-Sheet1!$C$2:$C$10)*Sheet1!$B$2:$B$10)+2*$H$2*C45</f>
        <v>0.004432317828</v>
      </c>
    </row>
    <row r="46">
      <c r="A46" s="1">
        <v>44.0</v>
      </c>
      <c r="B46" s="4">
        <f t="shared" ref="B46:C46" si="44">B45-$H$1*E45</f>
        <v>2.43897674</v>
      </c>
      <c r="C46" s="4">
        <f t="shared" si="44"/>
        <v>1.180111808</v>
      </c>
      <c r="D46" s="4">
        <f>SUMPRODUCT((B46+C46*Sheet1!$B$2:$B$10-Sheet1!$C$2:$C$10)^2)/$H$3+$H$2*C46^2</f>
        <v>2.404109256</v>
      </c>
      <c r="E46" s="4">
        <f>2/$H$3*SUMPRODUCT(B46+C46*Sheet1!$B$2:$B$10-Sheet1!$C$2:$C$10)</f>
        <v>-0.05304582297</v>
      </c>
      <c r="F46" s="4">
        <f>2/$H$3*SUMPRODUCT((B46+C46*Sheet1!$B$2:$B$10-Sheet1!$C$2:$C$10)*Sheet1!$B$2:$B$10)+2*$H$2*C46</f>
        <v>0.004005821646</v>
      </c>
    </row>
    <row r="47">
      <c r="A47" s="1">
        <v>45.0</v>
      </c>
      <c r="B47" s="4">
        <f t="shared" ref="B47:C47" si="45">B46-$H$1*E46</f>
        <v>2.441629031</v>
      </c>
      <c r="C47" s="4">
        <f t="shared" si="45"/>
        <v>1.179911516</v>
      </c>
      <c r="D47" s="4">
        <f>SUMPRODUCT((B47+C47*Sheet1!$B$2:$B$10-Sheet1!$C$2:$C$10)^2)/$H$3+$H$2*C47^2</f>
        <v>2.403974568</v>
      </c>
      <c r="E47" s="4">
        <f>2/$H$3*SUMPRODUCT(B47+C47*Sheet1!$B$2:$B$10-Sheet1!$C$2:$C$10)</f>
        <v>-0.04794153176</v>
      </c>
      <c r="F47" s="4">
        <f>2/$H$3*SUMPRODUCT((B47+C47*Sheet1!$B$2:$B$10-Sheet1!$C$2:$C$10)*Sheet1!$B$2:$B$10)+2*$H$2*C47</f>
        <v>0.003620364713</v>
      </c>
    </row>
    <row r="48">
      <c r="A48" s="1">
        <v>46.0</v>
      </c>
      <c r="B48" s="4">
        <f t="shared" ref="B48:C48" si="46">B47-$H$1*E47</f>
        <v>2.444026108</v>
      </c>
      <c r="C48" s="4">
        <f t="shared" si="46"/>
        <v>1.179730498</v>
      </c>
      <c r="D48" s="4">
        <f>SUMPRODUCT((B48+C48*Sheet1!$B$2:$B$10-Sheet1!$C$2:$C$10)^2)/$H$3+$H$2*C48^2</f>
        <v>2.403864554</v>
      </c>
      <c r="E48" s="4">
        <f>2/$H$3*SUMPRODUCT(B48+C48*Sheet1!$B$2:$B$10-Sheet1!$C$2:$C$10)</f>
        <v>-0.04332839682</v>
      </c>
      <c r="F48" s="4">
        <f>2/$H$3*SUMPRODUCT((B48+C48*Sheet1!$B$2:$B$10-Sheet1!$C$2:$C$10)*Sheet1!$B$2:$B$10)+2*$H$2*C48</f>
        <v>0.00327199806</v>
      </c>
    </row>
    <row r="49">
      <c r="A49" s="1">
        <v>47.0</v>
      </c>
      <c r="B49" s="4">
        <f t="shared" ref="B49:C49" si="47">B48-$H$1*E48</f>
        <v>2.446192528</v>
      </c>
      <c r="C49" s="4">
        <f t="shared" si="47"/>
        <v>1.179566898</v>
      </c>
      <c r="D49" s="4">
        <f>SUMPRODUCT((B49+C49*Sheet1!$B$2:$B$10-Sheet1!$C$2:$C$10)^2)/$H$3+$H$2*C49^2</f>
        <v>2.403774693</v>
      </c>
      <c r="E49" s="4">
        <f>2/$H$3*SUMPRODUCT(B49+C49*Sheet1!$B$2:$B$10-Sheet1!$C$2:$C$10)</f>
        <v>-0.03915915704</v>
      </c>
      <c r="F49" s="4">
        <f>2/$H$3*SUMPRODUCT((B49+C49*Sheet1!$B$2:$B$10-Sheet1!$C$2:$C$10)*Sheet1!$B$2:$B$10)+2*$H$2*C49</f>
        <v>0.002957152705</v>
      </c>
    </row>
    <row r="50">
      <c r="A50" s="1">
        <v>48.0</v>
      </c>
      <c r="B50" s="4">
        <f t="shared" ref="B50:C50" si="48">B49-$H$1*E49</f>
        <v>2.448150486</v>
      </c>
      <c r="C50" s="4">
        <f t="shared" si="48"/>
        <v>1.179419041</v>
      </c>
      <c r="D50" s="4">
        <f>SUMPRODUCT((B50+C50*Sheet1!$B$2:$B$10-Sheet1!$C$2:$C$10)^2)/$H$3+$H$2*C50^2</f>
        <v>2.403701293</v>
      </c>
      <c r="E50" s="4">
        <f>2/$H$3*SUMPRODUCT(B50+C50*Sheet1!$B$2:$B$10-Sheet1!$C$2:$C$10)</f>
        <v>-0.03539109897</v>
      </c>
      <c r="F50" s="4">
        <f>2/$H$3*SUMPRODUCT((B50+C50*Sheet1!$B$2:$B$10-Sheet1!$C$2:$C$10)*Sheet1!$B$2:$B$10)+2*$H$2*C50</f>
        <v>0.002672603089</v>
      </c>
    </row>
    <row r="51">
      <c r="A51" s="1">
        <v>49.0</v>
      </c>
      <c r="B51" s="4">
        <f t="shared" ref="B51:C51" si="49">B50-$H$1*E50</f>
        <v>2.449920041</v>
      </c>
      <c r="C51" s="4">
        <f t="shared" si="49"/>
        <v>1.179285411</v>
      </c>
      <c r="D51" s="4">
        <f>SUMPRODUCT((B51+C51*Sheet1!$B$2:$B$10-Sheet1!$C$2:$C$10)^2)/$H$3+$H$2*C51^2</f>
        <v>2.40364134</v>
      </c>
      <c r="E51" s="4">
        <f>2/$H$3*SUMPRODUCT(B51+C51*Sheet1!$B$2:$B$10-Sheet1!$C$2:$C$10)</f>
        <v>-0.03198561923</v>
      </c>
      <c r="F51" s="4">
        <f>2/$H$3*SUMPRODUCT((B51+C51*Sheet1!$B$2:$B$10-Sheet1!$C$2:$C$10)*Sheet1!$B$2:$B$10)+2*$H$2*C51</f>
        <v>0.002415434028</v>
      </c>
    </row>
    <row r="52">
      <c r="A52" s="1">
        <v>50.0</v>
      </c>
      <c r="B52" s="4">
        <f t="shared" ref="B52:C52" si="50">B51-$H$1*E51</f>
        <v>2.451519322</v>
      </c>
      <c r="C52" s="4">
        <f t="shared" si="50"/>
        <v>1.179164639</v>
      </c>
      <c r="D52" s="4">
        <f>SUMPRODUCT((B52+C52*Sheet1!$B$2:$B$10-Sheet1!$C$2:$C$10)^2)/$H$3+$H$2*C52^2</f>
        <v>2.40359237</v>
      </c>
      <c r="E52" s="4">
        <f>2/$H$3*SUMPRODUCT(B52+C52*Sheet1!$B$2:$B$10-Sheet1!$C$2:$C$10)</f>
        <v>-0.02890782901</v>
      </c>
      <c r="F52" s="4">
        <f>2/$H$3*SUMPRODUCT((B52+C52*Sheet1!$B$2:$B$10-Sheet1!$C$2:$C$10)*Sheet1!$B$2:$B$10)+2*$H$2*C52</f>
        <v>0.002183010852</v>
      </c>
    </row>
    <row r="53">
      <c r="A53" s="1">
        <v>51.0</v>
      </c>
      <c r="B53" s="4">
        <f t="shared" ref="B53:C53" si="51">B52-$H$1*E52</f>
        <v>2.452964713</v>
      </c>
      <c r="C53" s="4">
        <f t="shared" si="51"/>
        <v>1.179055488</v>
      </c>
      <c r="D53" s="4">
        <f>SUMPRODUCT((B53+C53*Sheet1!$B$2:$B$10-Sheet1!$C$2:$C$10)^2)/$H$3+$H$2*C53^2</f>
        <v>2.40355237</v>
      </c>
      <c r="E53" s="4">
        <f>2/$H$3*SUMPRODUCT(B53+C53*Sheet1!$B$2:$B$10-Sheet1!$C$2:$C$10)</f>
        <v>-0.02612619665</v>
      </c>
      <c r="F53" s="4">
        <f>2/$H$3*SUMPRODUCT((B53+C53*Sheet1!$B$2:$B$10-Sheet1!$C$2:$C$10)*Sheet1!$B$2:$B$10)+2*$H$2*C53</f>
        <v>0.001972952406</v>
      </c>
    </row>
    <row r="54">
      <c r="A54" s="1">
        <v>52.0</v>
      </c>
      <c r="B54" s="4">
        <f t="shared" ref="B54:C54" si="52">B53-$H$1*E53</f>
        <v>2.454271023</v>
      </c>
      <c r="C54" s="4">
        <f t="shared" si="52"/>
        <v>1.178956841</v>
      </c>
      <c r="D54" s="4">
        <f>SUMPRODUCT((B54+C54*Sheet1!$B$2:$B$10-Sheet1!$C$2:$C$10)^2)/$H$3+$H$2*C54^2</f>
        <v>2.403519698</v>
      </c>
      <c r="E54" s="4">
        <f>2/$H$3*SUMPRODUCT(B54+C54*Sheet1!$B$2:$B$10-Sheet1!$C$2:$C$10)</f>
        <v>-0.0236122246</v>
      </c>
      <c r="F54" s="4">
        <f>2/$H$3*SUMPRODUCT((B54+C54*Sheet1!$B$2:$B$10-Sheet1!$C$2:$C$10)*Sheet1!$B$2:$B$10)+2*$H$2*C54</f>
        <v>0.001783106664</v>
      </c>
    </row>
    <row r="55">
      <c r="A55" s="1">
        <v>53.0</v>
      </c>
      <c r="B55" s="4">
        <f t="shared" ref="B55:C55" si="53">B54-$H$1*E54</f>
        <v>2.455451634</v>
      </c>
      <c r="C55" s="4">
        <f t="shared" si="53"/>
        <v>1.178867685</v>
      </c>
      <c r="D55" s="4">
        <f>SUMPRODUCT((B55+C55*Sheet1!$B$2:$B$10-Sheet1!$C$2:$C$10)^2)/$H$3+$H$2*C55^2</f>
        <v>2.403493011</v>
      </c>
      <c r="E55" s="4">
        <f>2/$H$3*SUMPRODUCT(B55+C55*Sheet1!$B$2:$B$10-Sheet1!$C$2:$C$10)</f>
        <v>-0.02134015748</v>
      </c>
      <c r="F55" s="4">
        <f>2/$H$3*SUMPRODUCT((B55+C55*Sheet1!$B$2:$B$10-Sheet1!$C$2:$C$10)*Sheet1!$B$2:$B$10)+2*$H$2*C55</f>
        <v>0.001611528674</v>
      </c>
    </row>
    <row r="56">
      <c r="A56" s="1">
        <v>54.0</v>
      </c>
      <c r="B56" s="4">
        <f t="shared" ref="B56:C56" si="54">B55-$H$1*E55</f>
        <v>2.456518642</v>
      </c>
      <c r="C56" s="4">
        <f t="shared" si="54"/>
        <v>1.178787109</v>
      </c>
      <c r="D56" s="4">
        <f>SUMPRODUCT((B56+C56*Sheet1!$B$2:$B$10-Sheet1!$C$2:$C$10)^2)/$H$3+$H$2*C56^2</f>
        <v>2.403471213</v>
      </c>
      <c r="E56" s="4">
        <f>2/$H$3*SUMPRODUCT(B56+C56*Sheet1!$B$2:$B$10-Sheet1!$C$2:$C$10)</f>
        <v>-0.01928671816</v>
      </c>
      <c r="F56" s="4">
        <f>2/$H$3*SUMPRODUCT((B56+C56*Sheet1!$B$2:$B$10-Sheet1!$C$2:$C$10)*Sheet1!$B$2:$B$10)+2*$H$2*C56</f>
        <v>0.001456460637</v>
      </c>
    </row>
    <row r="57">
      <c r="A57" s="1">
        <v>55.0</v>
      </c>
      <c r="B57" s="4">
        <f t="shared" ref="B57:C57" si="55">B56-$H$1*E56</f>
        <v>2.457482978</v>
      </c>
      <c r="C57" s="4">
        <f t="shared" si="55"/>
        <v>1.178714286</v>
      </c>
      <c r="D57" s="4">
        <f>SUMPRODUCT((B57+C57*Sheet1!$B$2:$B$10-Sheet1!$C$2:$C$10)^2)/$H$3+$H$2*C57^2</f>
        <v>2.403453408</v>
      </c>
      <c r="E57" s="4">
        <f>2/$H$3*SUMPRODUCT(B57+C57*Sheet1!$B$2:$B$10-Sheet1!$C$2:$C$10)</f>
        <v>-0.01743086938</v>
      </c>
      <c r="F57" s="4">
        <f>2/$H$3*SUMPRODUCT((B57+C57*Sheet1!$B$2:$B$10-Sheet1!$C$2:$C$10)*Sheet1!$B$2:$B$10)+2*$H$2*C57</f>
        <v>0.001316313895</v>
      </c>
    </row>
    <row r="58">
      <c r="A58" s="1">
        <v>56.0</v>
      </c>
      <c r="B58" s="4">
        <f t="shared" ref="B58:C58" si="56">B57-$H$1*E57</f>
        <v>2.458354521</v>
      </c>
      <c r="C58" s="4">
        <f t="shared" si="56"/>
        <v>1.17864847</v>
      </c>
      <c r="D58" s="4">
        <f>SUMPRODUCT((B58+C58*Sheet1!$B$2:$B$10-Sheet1!$C$2:$C$10)^2)/$H$3+$H$2*C58^2</f>
        <v>2.403438864</v>
      </c>
      <c r="E58" s="4">
        <f>2/$H$3*SUMPRODUCT(B58+C58*Sheet1!$B$2:$B$10-Sheet1!$C$2:$C$10)</f>
        <v>-0.01575359813</v>
      </c>
      <c r="F58" s="4">
        <f>2/$H$3*SUMPRODUCT((B58+C58*Sheet1!$B$2:$B$10-Sheet1!$C$2:$C$10)*Sheet1!$B$2:$B$10)+2*$H$2*C58</f>
        <v>0.00118965266</v>
      </c>
    </row>
    <row r="59">
      <c r="A59" s="1">
        <v>57.0</v>
      </c>
      <c r="B59" s="4">
        <f t="shared" ref="B59:C59" si="57">B58-$H$1*E58</f>
        <v>2.459142201</v>
      </c>
      <c r="C59" s="4">
        <f t="shared" si="57"/>
        <v>1.178588988</v>
      </c>
      <c r="D59" s="4">
        <f>SUMPRODUCT((B59+C59*Sheet1!$B$2:$B$10-Sheet1!$C$2:$C$10)^2)/$H$3+$H$2*C59^2</f>
        <v>2.403426985</v>
      </c>
      <c r="E59" s="4">
        <f>2/$H$3*SUMPRODUCT(B59+C59*Sheet1!$B$2:$B$10-Sheet1!$C$2:$C$10)</f>
        <v>-0.01423772095</v>
      </c>
      <c r="F59" s="4">
        <f>2/$H$3*SUMPRODUCT((B59+C59*Sheet1!$B$2:$B$10-Sheet1!$C$2:$C$10)*Sheet1!$B$2:$B$10)+2*$H$2*C59</f>
        <v>0.0010751793</v>
      </c>
    </row>
    <row r="60">
      <c r="A60" s="1">
        <v>58.0</v>
      </c>
      <c r="B60" s="4">
        <f t="shared" ref="B60:C60" si="58">B59-$H$1*E59</f>
        <v>2.459854087</v>
      </c>
      <c r="C60" s="4">
        <f t="shared" si="58"/>
        <v>1.178535229</v>
      </c>
      <c r="D60" s="4">
        <f>SUMPRODUCT((B60+C60*Sheet1!$B$2:$B$10-Sheet1!$C$2:$C$10)^2)/$H$3+$H$2*C60^2</f>
        <v>2.403417282</v>
      </c>
      <c r="E60" s="4">
        <f>2/$H$3*SUMPRODUCT(B60+C60*Sheet1!$B$2:$B$10-Sheet1!$C$2:$C$10)</f>
        <v>-0.01286770782</v>
      </c>
      <c r="F60" s="4">
        <f>2/$H$3*SUMPRODUCT((B60+C60*Sheet1!$B$2:$B$10-Sheet1!$C$2:$C$10)*Sheet1!$B$2:$B$10)+2*$H$2*C60</f>
        <v>0.0009717210451</v>
      </c>
    </row>
    <row r="61">
      <c r="A61" s="1">
        <v>59.0</v>
      </c>
      <c r="B61" s="4">
        <f t="shared" ref="B61:C61" si="59">B60-$H$1*E60</f>
        <v>2.460497473</v>
      </c>
      <c r="C61" s="4">
        <f t="shared" si="59"/>
        <v>1.178486643</v>
      </c>
      <c r="D61" s="4">
        <f>SUMPRODUCT((B61+C61*Sheet1!$B$2:$B$10-Sheet1!$C$2:$C$10)^2)/$H$3+$H$2*C61^2</f>
        <v>2.403409357</v>
      </c>
      <c r="E61" s="4">
        <f>2/$H$3*SUMPRODUCT(B61+C61*Sheet1!$B$2:$B$10-Sheet1!$C$2:$C$10)</f>
        <v>-0.01162952309</v>
      </c>
      <c r="F61" s="4">
        <f>2/$H$3*SUMPRODUCT((B61+C61*Sheet1!$B$2:$B$10-Sheet1!$C$2:$C$10)*Sheet1!$B$2:$B$10)+2*$H$2*C61</f>
        <v>0.0008782179771</v>
      </c>
    </row>
    <row r="62">
      <c r="A62" s="1">
        <v>60.0</v>
      </c>
      <c r="B62" s="4">
        <f t="shared" ref="B62:C62" si="60">B61-$H$1*E61</f>
        <v>2.461078949</v>
      </c>
      <c r="C62" s="4">
        <f t="shared" si="60"/>
        <v>1.178442732</v>
      </c>
      <c r="D62" s="4">
        <f>SUMPRODUCT((B62+C62*Sheet1!$B$2:$B$10-Sheet1!$C$2:$C$10)^2)/$H$3+$H$2*C62^2</f>
        <v>2.403402883</v>
      </c>
      <c r="E62" s="4">
        <f>2/$H$3*SUMPRODUCT(B62+C62*Sheet1!$B$2:$B$10-Sheet1!$C$2:$C$10)</f>
        <v>-0.01051048168</v>
      </c>
      <c r="F62" s="4">
        <f>2/$H$3*SUMPRODUCT((B62+C62*Sheet1!$B$2:$B$10-Sheet1!$C$2:$C$10)*Sheet1!$B$2:$B$10)+2*$H$2*C62</f>
        <v>0.0007937121658</v>
      </c>
    </row>
    <row r="63">
      <c r="A63" s="1">
        <v>61.0</v>
      </c>
      <c r="B63" s="4">
        <f t="shared" ref="B63:C63" si="61">B62-$H$1*E62</f>
        <v>2.461604473</v>
      </c>
      <c r="C63" s="4">
        <f t="shared" si="61"/>
        <v>1.178403046</v>
      </c>
      <c r="D63" s="4">
        <f>SUMPRODUCT((B63+C63*Sheet1!$B$2:$B$10-Sheet1!$C$2:$C$10)^2)/$H$3+$H$2*C63^2</f>
        <v>2.403397595</v>
      </c>
      <c r="E63" s="4">
        <f>2/$H$3*SUMPRODUCT(B63+C63*Sheet1!$B$2:$B$10-Sheet1!$C$2:$C$10)</f>
        <v>-0.009499119123</v>
      </c>
      <c r="F63" s="4">
        <f>2/$H$3*SUMPRODUCT((B63+C63*Sheet1!$B$2:$B$10-Sheet1!$C$2:$C$10)*Sheet1!$B$2:$B$10)+2*$H$2*C63</f>
        <v>0.0007173378576</v>
      </c>
    </row>
    <row r="64">
      <c r="A64" s="1">
        <v>62.0</v>
      </c>
      <c r="B64" s="4">
        <f t="shared" ref="B64:C64" si="62">B63-$H$1*E63</f>
        <v>2.462079429</v>
      </c>
      <c r="C64" s="4">
        <f t="shared" si="62"/>
        <v>1.178367179</v>
      </c>
      <c r="D64" s="4">
        <f>SUMPRODUCT((B64+C64*Sheet1!$B$2:$B$10-Sheet1!$C$2:$C$10)^2)/$H$3+$H$2*C64^2</f>
        <v>2.403393276</v>
      </c>
      <c r="E64" s="4">
        <f>2/$H$3*SUMPRODUCT(B64+C64*Sheet1!$B$2:$B$10-Sheet1!$C$2:$C$10)</f>
        <v>-0.008585074104</v>
      </c>
      <c r="F64" s="4">
        <f>2/$H$3*SUMPRODUCT((B64+C64*Sheet1!$B$2:$B$10-Sheet1!$C$2:$C$10)*Sheet1!$B$2:$B$10)+2*$H$2*C64</f>
        <v>0.0006483126051</v>
      </c>
    </row>
    <row r="65">
      <c r="A65" s="1">
        <v>63.0</v>
      </c>
      <c r="B65" s="4">
        <f t="shared" ref="B65:C65" si="63">B64-$H$1*E64</f>
        <v>2.462508683</v>
      </c>
      <c r="C65" s="4">
        <f t="shared" si="63"/>
        <v>1.178334764</v>
      </c>
      <c r="D65" s="4">
        <f>SUMPRODUCT((B65+C65*Sheet1!$B$2:$B$10-Sheet1!$C$2:$C$10)^2)/$H$3+$H$2*C65^2</f>
        <v>2.403389748</v>
      </c>
      <c r="E65" s="4">
        <f>2/$H$3*SUMPRODUCT(B65+C65*Sheet1!$B$2:$B$10-Sheet1!$C$2:$C$10)</f>
        <v>-0.007758982324</v>
      </c>
      <c r="F65" s="4">
        <f>2/$H$3*SUMPRODUCT((B65+C65*Sheet1!$B$2:$B$10-Sheet1!$C$2:$C$10)*Sheet1!$B$2:$B$10)+2*$H$2*C65</f>
        <v>0.0005859292514</v>
      </c>
    </row>
    <row r="66">
      <c r="A66" s="1">
        <v>64.0</v>
      </c>
      <c r="B66" s="4">
        <f t="shared" ref="B66:C66" si="64">B65-$H$1*E65</f>
        <v>2.462896632</v>
      </c>
      <c r="C66" s="4">
        <f t="shared" si="64"/>
        <v>1.178305467</v>
      </c>
      <c r="D66" s="4">
        <f>SUMPRODUCT((B66+C66*Sheet1!$B$2:$B$10-Sheet1!$C$2:$C$10)^2)/$H$3+$H$2*C66^2</f>
        <v>2.403386867</v>
      </c>
      <c r="E66" s="4">
        <f>2/$H$3*SUMPRODUCT(B66+C66*Sheet1!$B$2:$B$10-Sheet1!$C$2:$C$10)</f>
        <v>-0.007012380554</v>
      </c>
      <c r="F66" s="4">
        <f>2/$H$3*SUMPRODUCT((B66+C66*Sheet1!$B$2:$B$10-Sheet1!$C$2:$C$10)*Sheet1!$B$2:$B$10)+2*$H$2*C66</f>
        <v>0.0005295486853</v>
      </c>
    </row>
    <row r="67">
      <c r="A67" s="1">
        <v>65.0</v>
      </c>
      <c r="B67" s="4">
        <f t="shared" ref="B67:C67" si="65">B66-$H$1*E66</f>
        <v>2.463247251</v>
      </c>
      <c r="C67" s="4">
        <f t="shared" si="65"/>
        <v>1.17827899</v>
      </c>
      <c r="D67" s="4">
        <f>SUMPRODUCT((B67+C67*Sheet1!$B$2:$B$10-Sheet1!$C$2:$C$10)^2)/$H$3+$H$2*C67^2</f>
        <v>2.403384513</v>
      </c>
      <c r="E67" s="4">
        <f>2/$H$3*SUMPRODUCT(B67+C67*Sheet1!$B$2:$B$10-Sheet1!$C$2:$C$10)</f>
        <v>-0.006337619933</v>
      </c>
      <c r="F67" s="4">
        <f>2/$H$3*SUMPRODUCT((B67+C67*Sheet1!$B$2:$B$10-Sheet1!$C$2:$C$10)*Sheet1!$B$2:$B$10)+2*$H$2*C67</f>
        <v>0.0004785932933</v>
      </c>
    </row>
    <row r="68">
      <c r="A68" s="1">
        <v>66.0</v>
      </c>
      <c r="B68" s="4">
        <f t="shared" ref="B68:C68" si="66">B67-$H$1*E67</f>
        <v>2.463564132</v>
      </c>
      <c r="C68" s="4">
        <f t="shared" si="66"/>
        <v>1.17825506</v>
      </c>
      <c r="D68" s="4">
        <f>SUMPRODUCT((B68+C68*Sheet1!$B$2:$B$10-Sheet1!$C$2:$C$10)^2)/$H$3+$H$2*C68^2</f>
        <v>2.40338259</v>
      </c>
      <c r="E68" s="4">
        <f>2/$H$3*SUMPRODUCT(B68+C68*Sheet1!$B$2:$B$10-Sheet1!$C$2:$C$10)</f>
        <v>-0.005727787604</v>
      </c>
      <c r="F68" s="4">
        <f>2/$H$3*SUMPRODUCT((B68+C68*Sheet1!$B$2:$B$10-Sheet1!$C$2:$C$10)*Sheet1!$B$2:$B$10)+2*$H$2*C68</f>
        <v>0.0004325410425</v>
      </c>
    </row>
    <row r="69">
      <c r="A69" s="1">
        <v>67.0</v>
      </c>
      <c r="B69" s="4">
        <f t="shared" ref="B69:C69" si="67">B68-$H$1*E68</f>
        <v>2.463850521</v>
      </c>
      <c r="C69" s="4">
        <f t="shared" si="67"/>
        <v>1.178233433</v>
      </c>
      <c r="D69" s="4">
        <f>SUMPRODUCT((B69+C69*Sheet1!$B$2:$B$10-Sheet1!$C$2:$C$10)^2)/$H$3+$H$2*C69^2</f>
        <v>2.40338102</v>
      </c>
      <c r="E69" s="4">
        <f>2/$H$3*SUMPRODUCT(B69+C69*Sheet1!$B$2:$B$10-Sheet1!$C$2:$C$10)</f>
        <v>-0.005176635896</v>
      </c>
      <c r="F69" s="4">
        <f>2/$H$3*SUMPRODUCT((B69+C69*Sheet1!$B$2:$B$10-Sheet1!$C$2:$C$10)*Sheet1!$B$2:$B$10)+2*$H$2*C69</f>
        <v>0.0003909201321</v>
      </c>
    </row>
    <row r="70">
      <c r="A70" s="1">
        <v>68.0</v>
      </c>
      <c r="B70" s="4">
        <f t="shared" ref="B70:C70" si="68">B69-$H$1*E69</f>
        <v>2.464109353</v>
      </c>
      <c r="C70" s="4">
        <f t="shared" si="68"/>
        <v>1.178213887</v>
      </c>
      <c r="D70" s="4">
        <f>SUMPRODUCT((B70+C70*Sheet1!$B$2:$B$10-Sheet1!$C$2:$C$10)^2)/$H$3+$H$2*C70^2</f>
        <v>2.403379737</v>
      </c>
      <c r="E70" s="4">
        <f>2/$H$3*SUMPRODUCT(B70+C70*Sheet1!$B$2:$B$10-Sheet1!$C$2:$C$10)</f>
        <v>-0.004678518313</v>
      </c>
      <c r="F70" s="4">
        <f>2/$H$3*SUMPRODUCT((B70+C70*Sheet1!$B$2:$B$10-Sheet1!$C$2:$C$10)*Sheet1!$B$2:$B$10)+2*$H$2*C70</f>
        <v>0.0003533041601</v>
      </c>
    </row>
    <row r="71">
      <c r="A71" s="1">
        <v>69.0</v>
      </c>
      <c r="B71" s="4">
        <f t="shared" ref="B71:C71" si="69">B70-$H$1*E70</f>
        <v>2.464343279</v>
      </c>
      <c r="C71" s="4">
        <f t="shared" si="69"/>
        <v>1.178196222</v>
      </c>
      <c r="D71" s="4">
        <f>SUMPRODUCT((B71+C71*Sheet1!$B$2:$B$10-Sheet1!$C$2:$C$10)^2)/$H$3+$H$2*C71^2</f>
        <v>2.40337869</v>
      </c>
      <c r="E71" s="4">
        <f>2/$H$3*SUMPRODUCT(B71+C71*Sheet1!$B$2:$B$10-Sheet1!$C$2:$C$10)</f>
        <v>-0.00422833169</v>
      </c>
      <c r="F71" s="4">
        <f>2/$H$3*SUMPRODUCT((B71+C71*Sheet1!$B$2:$B$10-Sheet1!$C$2:$C$10)*Sheet1!$B$2:$B$10)+2*$H$2*C71</f>
        <v>0.0003193077543</v>
      </c>
    </row>
    <row r="72">
      <c r="A72" s="1">
        <v>70.0</v>
      </c>
      <c r="B72" s="4">
        <f t="shared" ref="B72:C72" si="70">B71-$H$1*E71</f>
        <v>2.464554695</v>
      </c>
      <c r="C72" s="4">
        <f t="shared" si="70"/>
        <v>1.178180256</v>
      </c>
      <c r="D72" s="4">
        <f>SUMPRODUCT((B72+C72*Sheet1!$B$2:$B$10-Sheet1!$C$2:$C$10)^2)/$H$3+$H$2*C72^2</f>
        <v>2.403377834</v>
      </c>
      <c r="E72" s="4">
        <f>2/$H$3*SUMPRODUCT(B72+C72*Sheet1!$B$2:$B$10-Sheet1!$C$2:$C$10)</f>
        <v>-0.003821463908</v>
      </c>
      <c r="F72" s="4">
        <f>2/$H$3*SUMPRODUCT((B72+C72*Sheet1!$B$2:$B$10-Sheet1!$C$2:$C$10)*Sheet1!$B$2:$B$10)+2*$H$2*C72</f>
        <v>0.0002885826251</v>
      </c>
    </row>
    <row r="73">
      <c r="A73" s="1">
        <v>71.0</v>
      </c>
      <c r="B73" s="4">
        <f t="shared" ref="B73:C73" si="71">B72-$H$1*E72</f>
        <v>2.464745769</v>
      </c>
      <c r="C73" s="4">
        <f t="shared" si="71"/>
        <v>1.178165827</v>
      </c>
      <c r="D73" s="4">
        <f>SUMPRODUCT((B73+C73*Sheet1!$B$2:$B$10-Sheet1!$C$2:$C$10)^2)/$H$3+$H$2*C73^2</f>
        <v>2.403377135</v>
      </c>
      <c r="E73" s="4">
        <f>2/$H$3*SUMPRODUCT(B73+C73*Sheet1!$B$2:$B$10-Sheet1!$C$2:$C$10)</f>
        <v>-0.003453746649</v>
      </c>
      <c r="F73" s="4">
        <f>2/$H$3*SUMPRODUCT((B73+C73*Sheet1!$B$2:$B$10-Sheet1!$C$2:$C$10)*Sheet1!$B$2:$B$10)+2*$H$2*C73</f>
        <v>0.0002608139965</v>
      </c>
    </row>
    <row r="74">
      <c r="A74" s="1">
        <v>72.0</v>
      </c>
      <c r="B74" s="4">
        <f t="shared" ref="B74:C74" si="72">B73-$H$1*E73</f>
        <v>2.464918456</v>
      </c>
      <c r="C74" s="4">
        <f t="shared" si="72"/>
        <v>1.178152786</v>
      </c>
      <c r="D74" s="4">
        <f>SUMPRODUCT((B74+C74*Sheet1!$B$2:$B$10-Sheet1!$C$2:$C$10)^2)/$H$3+$H$2*C74^2</f>
        <v>2.403376564</v>
      </c>
      <c r="E74" s="4">
        <f>2/$H$3*SUMPRODUCT(B74+C74*Sheet1!$B$2:$B$10-Sheet1!$C$2:$C$10)</f>
        <v>-0.003121412684</v>
      </c>
      <c r="F74" s="4">
        <f>2/$H$3*SUMPRODUCT((B74+C74*Sheet1!$B$2:$B$10-Sheet1!$C$2:$C$10)*Sheet1!$B$2:$B$10)+2*$H$2*C74</f>
        <v>0.0002357173816</v>
      </c>
    </row>
    <row r="75">
      <c r="A75" s="1">
        <v>73.0</v>
      </c>
      <c r="B75" s="4">
        <f t="shared" ref="B75:C75" si="73">B74-$H$1*E74</f>
        <v>2.465074527</v>
      </c>
      <c r="C75" s="4">
        <f t="shared" si="73"/>
        <v>1.178141001</v>
      </c>
      <c r="D75" s="4">
        <f>SUMPRODUCT((B75+C75*Sheet1!$B$2:$B$10-Sheet1!$C$2:$C$10)^2)/$H$3+$H$2*C75^2</f>
        <v>2.403376097</v>
      </c>
      <c r="E75" s="4">
        <f>2/$H$3*SUMPRODUCT(B75+C75*Sheet1!$B$2:$B$10-Sheet1!$C$2:$C$10)</f>
        <v>-0.002821057284</v>
      </c>
      <c r="F75" s="4">
        <f>2/$H$3*SUMPRODUCT((B75+C75*Sheet1!$B$2:$B$10-Sheet1!$C$2:$C$10)*Sheet1!$B$2:$B$10)+2*$H$2*C75</f>
        <v>0.0002130356681</v>
      </c>
    </row>
    <row r="76">
      <c r="A76" s="1">
        <v>74.0</v>
      </c>
      <c r="B76" s="4">
        <f t="shared" ref="B76:C76" si="74">B75-$H$1*E75</f>
        <v>2.465215579</v>
      </c>
      <c r="C76" s="4">
        <f t="shared" si="74"/>
        <v>1.178130349</v>
      </c>
      <c r="D76" s="4">
        <f>SUMPRODUCT((B76+C76*Sheet1!$B$2:$B$10-Sheet1!$C$2:$C$10)^2)/$H$3+$H$2*C76^2</f>
        <v>2.403375716</v>
      </c>
      <c r="E76" s="4">
        <f>2/$H$3*SUMPRODUCT(B76+C76*Sheet1!$B$2:$B$10-Sheet1!$C$2:$C$10)</f>
        <v>-0.002549603339</v>
      </c>
      <c r="F76" s="4">
        <f>2/$H$3*SUMPRODUCT((B76+C76*Sheet1!$B$2:$B$10-Sheet1!$C$2:$C$10)*Sheet1!$B$2:$B$10)+2*$H$2*C76</f>
        <v>0.000192536484</v>
      </c>
    </row>
    <row r="77">
      <c r="A77" s="1">
        <v>75.0</v>
      </c>
      <c r="B77" s="4">
        <f t="shared" ref="B77:C77" si="75">B76-$H$1*E76</f>
        <v>2.46534306</v>
      </c>
      <c r="C77" s="4">
        <f t="shared" si="75"/>
        <v>1.178120722</v>
      </c>
      <c r="D77" s="4">
        <f>SUMPRODUCT((B77+C77*Sheet1!$B$2:$B$10-Sheet1!$C$2:$C$10)^2)/$H$3+$H$2*C77^2</f>
        <v>2.403375405</v>
      </c>
      <c r="E77" s="4">
        <f>2/$H$3*SUMPRODUCT(B77+C77*Sheet1!$B$2:$B$10-Sheet1!$C$2:$C$10)</f>
        <v>-0.00230426983</v>
      </c>
      <c r="F77" s="4">
        <f>2/$H$3*SUMPRODUCT((B77+C77*Sheet1!$B$2:$B$10-Sheet1!$C$2:$C$10)*Sheet1!$B$2:$B$10)+2*$H$2*C77</f>
        <v>0.0001740098173</v>
      </c>
    </row>
    <row r="78">
      <c r="A78" s="1">
        <v>76.0</v>
      </c>
      <c r="B78" s="4">
        <f t="shared" ref="B78:C78" si="76">B77-$H$1*E77</f>
        <v>2.465458273</v>
      </c>
      <c r="C78" s="4">
        <f t="shared" si="76"/>
        <v>1.178112021</v>
      </c>
      <c r="D78" s="4">
        <f>SUMPRODUCT((B78+C78*Sheet1!$B$2:$B$10-Sheet1!$C$2:$C$10)^2)/$H$3+$H$2*C78^2</f>
        <v>2.403375151</v>
      </c>
      <c r="E78" s="4">
        <f>2/$H$3*SUMPRODUCT(B78+C78*Sheet1!$B$2:$B$10-Sheet1!$C$2:$C$10)</f>
        <v>-0.002082543338</v>
      </c>
      <c r="F78" s="4">
        <f>2/$H$3*SUMPRODUCT((B78+C78*Sheet1!$B$2:$B$10-Sheet1!$C$2:$C$10)*Sheet1!$B$2:$B$10)+2*$H$2*C78</f>
        <v>0.000157265864</v>
      </c>
    </row>
    <row r="79">
      <c r="A79" s="1">
        <v>77.0</v>
      </c>
      <c r="B79" s="4">
        <f t="shared" ref="B79:C79" si="77">B78-$H$1*E78</f>
        <v>2.4655624</v>
      </c>
      <c r="C79" s="4">
        <f t="shared" si="77"/>
        <v>1.178104158</v>
      </c>
      <c r="D79" s="4">
        <f>SUMPRODUCT((B79+C79*Sheet1!$B$2:$B$10-Sheet1!$C$2:$C$10)^2)/$H$3+$H$2*C79^2</f>
        <v>2.403374944</v>
      </c>
      <c r="E79" s="4">
        <f>2/$H$3*SUMPRODUCT(B79+C79*Sheet1!$B$2:$B$10-Sheet1!$C$2:$C$10)</f>
        <v>-0.001882152297</v>
      </c>
      <c r="F79" s="4">
        <f>2/$H$3*SUMPRODUCT((B79+C79*Sheet1!$B$2:$B$10-Sheet1!$C$2:$C$10)*Sheet1!$B$2:$B$10)+2*$H$2*C79</f>
        <v>0.000142133084</v>
      </c>
    </row>
    <row r="80">
      <c r="A80" s="1">
        <v>78.0</v>
      </c>
      <c r="B80" s="4">
        <f t="shared" ref="B80:C80" si="78">B79-$H$1*E79</f>
        <v>2.465656508</v>
      </c>
      <c r="C80" s="4">
        <f t="shared" si="78"/>
        <v>1.178097052</v>
      </c>
      <c r="D80" s="4">
        <f>SUMPRODUCT((B80+C80*Sheet1!$B$2:$B$10-Sheet1!$C$2:$C$10)^2)/$H$3+$H$2*C80^2</f>
        <v>2.403374774</v>
      </c>
      <c r="E80" s="4">
        <f>2/$H$3*SUMPRODUCT(B80+C80*Sheet1!$B$2:$B$10-Sheet1!$C$2:$C$10)</f>
        <v>-0.001701043721</v>
      </c>
      <c r="F80" s="4">
        <f>2/$H$3*SUMPRODUCT((B80+C80*Sheet1!$B$2:$B$10-Sheet1!$C$2:$C$10)*Sheet1!$B$2:$B$10)+2*$H$2*C80</f>
        <v>0.0001284564435</v>
      </c>
    </row>
    <row r="81">
      <c r="A81" s="1">
        <v>79.0</v>
      </c>
      <c r="B81" s="4">
        <f t="shared" ref="B81:C81" si="79">B80-$H$1*E80</f>
        <v>2.46574156</v>
      </c>
      <c r="C81" s="4">
        <f t="shared" si="79"/>
        <v>1.178090629</v>
      </c>
      <c r="D81" s="4">
        <f>SUMPRODUCT((B81+C81*Sheet1!$B$2:$B$10-Sheet1!$C$2:$C$10)^2)/$H$3+$H$2*C81^2</f>
        <v>2.403374636</v>
      </c>
      <c r="E81" s="4">
        <f>2/$H$3*SUMPRODUCT(B81+C81*Sheet1!$B$2:$B$10-Sheet1!$C$2:$C$10)</f>
        <v>-0.001537362172</v>
      </c>
      <c r="F81" s="4">
        <f>2/$H$3*SUMPRODUCT((B81+C81*Sheet1!$B$2:$B$10-Sheet1!$C$2:$C$10)*Sheet1!$B$2:$B$10)+2*$H$2*C81</f>
        <v>0.0001160958266</v>
      </c>
    </row>
    <row r="82">
      <c r="A82" s="1">
        <v>80.0</v>
      </c>
      <c r="B82" s="4">
        <f t="shared" ref="B82:C82" si="80">B81-$H$1*E81</f>
        <v>2.465818428</v>
      </c>
      <c r="C82" s="4">
        <f t="shared" si="80"/>
        <v>1.178084824</v>
      </c>
      <c r="D82" s="4">
        <f>SUMPRODUCT((B82+C82*Sheet1!$B$2:$B$10-Sheet1!$C$2:$C$10)^2)/$H$3+$H$2*C82^2</f>
        <v>2.403374522</v>
      </c>
      <c r="E82" s="4">
        <f>2/$H$3*SUMPRODUCT(B82+C82*Sheet1!$B$2:$B$10-Sheet1!$C$2:$C$10)</f>
        <v>-0.001389430746</v>
      </c>
      <c r="F82" s="4">
        <f>2/$H$3*SUMPRODUCT((B82+C82*Sheet1!$B$2:$B$10-Sheet1!$C$2:$C$10)*Sheet1!$B$2:$B$10)+2*$H$2*C82</f>
        <v>0.0001049246</v>
      </c>
    </row>
    <row r="83">
      <c r="A83" s="1">
        <v>81.0</v>
      </c>
      <c r="B83" s="4">
        <f t="shared" ref="B83:C83" si="81">B82-$H$1*E82</f>
        <v>2.4658879</v>
      </c>
      <c r="C83" s="4">
        <f t="shared" si="81"/>
        <v>1.178079578</v>
      </c>
      <c r="D83" s="4">
        <f>SUMPRODUCT((B83+C83*Sheet1!$B$2:$B$10-Sheet1!$C$2:$C$10)^2)/$H$3+$H$2*C83^2</f>
        <v>2.40337443</v>
      </c>
      <c r="E83" s="4">
        <f>2/$H$3*SUMPRODUCT(B83+C83*Sheet1!$B$2:$B$10-Sheet1!$C$2:$C$10)</f>
        <v>-0.001255733901</v>
      </c>
      <c r="F83" s="4">
        <f>2/$H$3*SUMPRODUCT((B83+C83*Sheet1!$B$2:$B$10-Sheet1!$C$2:$C$10)*Sheet1!$B$2:$B$10)+2*$H$2*C83</f>
        <v>0.00009482831562</v>
      </c>
    </row>
    <row r="84">
      <c r="A84" s="1">
        <v>82.0</v>
      </c>
      <c r="B84" s="4">
        <f t="shared" ref="B84:C84" si="82">B83-$H$1*E83</f>
        <v>2.465950686</v>
      </c>
      <c r="C84" s="4">
        <f t="shared" si="82"/>
        <v>1.178074836</v>
      </c>
      <c r="D84" s="4">
        <f>SUMPRODUCT((B84+C84*Sheet1!$B$2:$B$10-Sheet1!$C$2:$C$10)^2)/$H$3+$H$2*C84^2</f>
        <v>2.403374355</v>
      </c>
      <c r="E84" s="4">
        <f>2/$H$3*SUMPRODUCT(B84+C84*Sheet1!$B$2:$B$10-Sheet1!$C$2:$C$10)</f>
        <v>-0.001134901927</v>
      </c>
      <c r="F84" s="4">
        <f>2/$H$3*SUMPRODUCT((B84+C84*Sheet1!$B$2:$B$10-Sheet1!$C$2:$C$10)*Sheet1!$B$2:$B$10)+2*$H$2*C84</f>
        <v>0.000085703538</v>
      </c>
    </row>
    <row r="85">
      <c r="A85" s="1">
        <v>83.0</v>
      </c>
      <c r="B85" s="4">
        <f t="shared" ref="B85:C85" si="83">B84-$H$1*E84</f>
        <v>2.466007432</v>
      </c>
      <c r="C85" s="4">
        <f t="shared" si="83"/>
        <v>1.178070551</v>
      </c>
      <c r="D85" s="4">
        <f>SUMPRODUCT((B85+C85*Sheet1!$B$2:$B$10-Sheet1!$C$2:$C$10)^2)/$H$3+$H$2*C85^2</f>
        <v>2.403374293</v>
      </c>
      <c r="E85" s="4">
        <f>2/$H$3*SUMPRODUCT(B85+C85*Sheet1!$B$2:$B$10-Sheet1!$C$2:$C$10)</f>
        <v>-0.001025696911</v>
      </c>
      <c r="F85" s="4">
        <f>2/$H$3*SUMPRODUCT((B85+C85*Sheet1!$B$2:$B$10-Sheet1!$C$2:$C$10)*Sheet1!$B$2:$B$10)+2*$H$2*C85</f>
        <v>0.00007745678469</v>
      </c>
    </row>
    <row r="86">
      <c r="A86" s="1">
        <v>84.0</v>
      </c>
      <c r="B86" s="4">
        <f t="shared" ref="B86:C86" si="84">B85-$H$1*E85</f>
        <v>2.466058716</v>
      </c>
      <c r="C86" s="4">
        <f t="shared" si="84"/>
        <v>1.178066678</v>
      </c>
      <c r="D86" s="4">
        <f>SUMPRODUCT((B86+C86*Sheet1!$B$2:$B$10-Sheet1!$C$2:$C$10)^2)/$H$3+$H$2*C86^2</f>
        <v>2.403374242</v>
      </c>
      <c r="E86" s="4">
        <f>2/$H$3*SUMPRODUCT(B86+C86*Sheet1!$B$2:$B$10-Sheet1!$C$2:$C$10)</f>
        <v>-0.0009270000591</v>
      </c>
      <c r="F86" s="4">
        <f>2/$H$3*SUMPRODUCT((B86+C86*Sheet1!$B$2:$B$10-Sheet1!$C$2:$C$10)*Sheet1!$B$2:$B$10)+2*$H$2*C86</f>
        <v>0.00007000356852</v>
      </c>
    </row>
    <row r="87">
      <c r="A87" s="1">
        <v>85.0</v>
      </c>
      <c r="B87" s="4">
        <f t="shared" ref="B87:C87" si="85">B86-$H$1*E86</f>
        <v>2.466105066</v>
      </c>
      <c r="C87" s="4">
        <f t="shared" si="85"/>
        <v>1.178063178</v>
      </c>
      <c r="D87" s="4">
        <f>SUMPRODUCT((B87+C87*Sheet1!$B$2:$B$10-Sheet1!$C$2:$C$10)^2)/$H$3+$H$2*C87^2</f>
        <v>2.403374201</v>
      </c>
      <c r="E87" s="4">
        <f>2/$H$3*SUMPRODUCT(B87+C87*Sheet1!$B$2:$B$10-Sheet1!$C$2:$C$10)</f>
        <v>-0.0008378002317</v>
      </c>
      <c r="F87" s="4">
        <f>2/$H$3*SUMPRODUCT((B87+C87*Sheet1!$B$2:$B$10-Sheet1!$C$2:$C$10)*Sheet1!$B$2:$B$10)+2*$H$2*C87</f>
        <v>0.00006326753201</v>
      </c>
    </row>
    <row r="88">
      <c r="A88" s="1">
        <v>86.0</v>
      </c>
      <c r="B88" s="4">
        <f t="shared" ref="B88:C88" si="86">B87-$H$1*E87</f>
        <v>2.466146956</v>
      </c>
      <c r="C88" s="4">
        <f t="shared" si="86"/>
        <v>1.178060015</v>
      </c>
      <c r="D88" s="4">
        <f>SUMPRODUCT((B88+C88*Sheet1!$B$2:$B$10-Sheet1!$C$2:$C$10)^2)/$H$3+$H$2*C88^2</f>
        <v>2.403374168</v>
      </c>
      <c r="E88" s="4">
        <f>2/$H$3*SUMPRODUCT(B88+C88*Sheet1!$B$2:$B$10-Sheet1!$C$2:$C$10)</f>
        <v>-0.0007571835851</v>
      </c>
      <c r="F88" s="4">
        <f>2/$H$3*SUMPRODUCT((B88+C88*Sheet1!$B$2:$B$10-Sheet1!$C$2:$C$10)*Sheet1!$B$2:$B$10)+2*$H$2*C88</f>
        <v>0.00005717966515</v>
      </c>
    </row>
    <row r="89">
      <c r="A89" s="1">
        <v>87.0</v>
      </c>
      <c r="B89" s="4">
        <f t="shared" ref="B89:C89" si="87">B88-$H$1*E88</f>
        <v>2.466184816</v>
      </c>
      <c r="C89" s="4">
        <f t="shared" si="87"/>
        <v>1.178057156</v>
      </c>
      <c r="D89" s="4">
        <f>SUMPRODUCT((B89+C89*Sheet1!$B$2:$B$10-Sheet1!$C$2:$C$10)^2)/$H$3+$H$2*C89^2</f>
        <v>2.40337414</v>
      </c>
      <c r="E89" s="4">
        <f>2/$H$3*SUMPRODUCT(B89+C89*Sheet1!$B$2:$B$10-Sheet1!$C$2:$C$10)</f>
        <v>-0.0006843242098</v>
      </c>
      <c r="F89" s="4">
        <f>2/$H$3*SUMPRODUCT((B89+C89*Sheet1!$B$2:$B$10-Sheet1!$C$2:$C$10)*Sheet1!$B$2:$B$10)+2*$H$2*C89</f>
        <v>0.00005167759833</v>
      </c>
    </row>
    <row r="90">
      <c r="A90" s="1">
        <v>88.0</v>
      </c>
      <c r="B90" s="4">
        <f t="shared" ref="B90:C90" si="88">B89-$H$1*E89</f>
        <v>2.466219032</v>
      </c>
      <c r="C90" s="4">
        <f t="shared" si="88"/>
        <v>1.178054572</v>
      </c>
      <c r="D90" s="4">
        <f>SUMPRODUCT((B90+C90*Sheet1!$B$2:$B$10-Sheet1!$C$2:$C$10)^2)/$H$3+$H$2*C90^2</f>
        <v>2.403374118</v>
      </c>
      <c r="E90" s="4">
        <f>2/$H$3*SUMPRODUCT(B90+C90*Sheet1!$B$2:$B$10-Sheet1!$C$2:$C$10)</f>
        <v>-0.0006184756688</v>
      </c>
      <c r="F90" s="4">
        <f>2/$H$3*SUMPRODUCT((B90+C90*Sheet1!$B$2:$B$10-Sheet1!$C$2:$C$10)*Sheet1!$B$2:$B$10)+2*$H$2*C90</f>
        <v>0.00004670496342</v>
      </c>
    </row>
    <row r="91">
      <c r="A91" s="1">
        <v>89.0</v>
      </c>
      <c r="B91" s="4">
        <f t="shared" ref="B91:C91" si="89">B90-$H$1*E90</f>
        <v>2.466249956</v>
      </c>
      <c r="C91" s="4">
        <f t="shared" si="89"/>
        <v>1.178052237</v>
      </c>
      <c r="D91" s="4">
        <f>SUMPRODUCT((B91+C91*Sheet1!$B$2:$B$10-Sheet1!$C$2:$C$10)^2)/$H$3+$H$2*C91^2</f>
        <v>2.4033741</v>
      </c>
      <c r="E91" s="4">
        <f>2/$H$3*SUMPRODUCT(B91+C91*Sheet1!$B$2:$B$10-Sheet1!$C$2:$C$10)</f>
        <v>-0.0005589633501</v>
      </c>
      <c r="F91" s="4">
        <f>2/$H$3*SUMPRODUCT((B91+C91*Sheet1!$B$2:$B$10-Sheet1!$C$2:$C$10)*Sheet1!$B$2:$B$10)+2*$H$2*C91</f>
        <v>0.00004221081627</v>
      </c>
    </row>
    <row r="92">
      <c r="A92" s="1">
        <v>90.0</v>
      </c>
      <c r="B92" s="4">
        <f t="shared" ref="B92:C92" si="90">B91-$H$1*E91</f>
        <v>2.466277904</v>
      </c>
      <c r="C92" s="4">
        <f t="shared" si="90"/>
        <v>1.178050126</v>
      </c>
      <c r="D92" s="4">
        <f>SUMPRODUCT((B92+C92*Sheet1!$B$2:$B$10-Sheet1!$C$2:$C$10)^2)/$H$3+$H$2*C92^2</f>
        <v>2.403374085</v>
      </c>
      <c r="E92" s="4">
        <f>2/$H$3*SUMPRODUCT(B92+C92*Sheet1!$B$2:$B$10-Sheet1!$C$2:$C$10)</f>
        <v>-0.0005051775559</v>
      </c>
      <c r="F92" s="4">
        <f>2/$H$3*SUMPRODUCT((B92+C92*Sheet1!$B$2:$B$10-Sheet1!$C$2:$C$10)*Sheet1!$B$2:$B$10)+2*$H$2*C92</f>
        <v>0.00003814911477</v>
      </c>
    </row>
    <row r="93">
      <c r="A93" s="1">
        <v>91.0</v>
      </c>
      <c r="B93" s="4">
        <f t="shared" ref="B93:C93" si="91">B92-$H$1*E92</f>
        <v>2.466303163</v>
      </c>
      <c r="C93" s="4">
        <f t="shared" si="91"/>
        <v>1.178048219</v>
      </c>
      <c r="D93" s="4">
        <f>SUMPRODUCT((B93+C93*Sheet1!$B$2:$B$10-Sheet1!$C$2:$C$10)^2)/$H$3+$H$2*C93^2</f>
        <v>2.403374072</v>
      </c>
      <c r="E93" s="4">
        <f>2/$H$3*SUMPRODUCT(B93+C93*Sheet1!$B$2:$B$10-Sheet1!$C$2:$C$10)</f>
        <v>-0.000456567256</v>
      </c>
      <c r="F93" s="4">
        <f>2/$H$3*SUMPRODUCT((B93+C93*Sheet1!$B$2:$B$10-Sheet1!$C$2:$C$10)*Sheet1!$B$2:$B$10)+2*$H$2*C93</f>
        <v>0.0000344782472</v>
      </c>
    </row>
    <row r="94">
      <c r="A94" s="1">
        <v>92.0</v>
      </c>
      <c r="B94" s="4">
        <f t="shared" ref="B94:C94" si="92">B93-$H$1*E93</f>
        <v>2.466325991</v>
      </c>
      <c r="C94" s="4">
        <f t="shared" si="92"/>
        <v>1.178046495</v>
      </c>
      <c r="D94" s="4">
        <f>SUMPRODUCT((B94+C94*Sheet1!$B$2:$B$10-Sheet1!$C$2:$C$10)^2)/$H$3+$H$2*C94^2</f>
        <v>2.403374062</v>
      </c>
      <c r="E94" s="4">
        <f>2/$H$3*SUMPRODUCT(B94+C94*Sheet1!$B$2:$B$10-Sheet1!$C$2:$C$10)</f>
        <v>-0.0004126344428</v>
      </c>
      <c r="F94" s="4">
        <f>2/$H$3*SUMPRODUCT((B94+C94*Sheet1!$B$2:$B$10-Sheet1!$C$2:$C$10)*Sheet1!$B$2:$B$10)+2*$H$2*C94</f>
        <v>0.00003116060587</v>
      </c>
    </row>
    <row r="95">
      <c r="A95" s="1">
        <v>93.0</v>
      </c>
      <c r="B95" s="4">
        <f t="shared" ref="B95:C95" si="93">B94-$H$1*E94</f>
        <v>2.466346623</v>
      </c>
      <c r="C95" s="4">
        <f t="shared" si="93"/>
        <v>1.178044937</v>
      </c>
      <c r="D95" s="4">
        <f>SUMPRODUCT((B95+C95*Sheet1!$B$2:$B$10-Sheet1!$C$2:$C$10)^2)/$H$3+$H$2*C95^2</f>
        <v>2.403374054</v>
      </c>
      <c r="E95" s="4">
        <f>2/$H$3*SUMPRODUCT(B95+C95*Sheet1!$B$2:$B$10-Sheet1!$C$2:$C$10)</f>
        <v>-0.0003729290288</v>
      </c>
      <c r="F95" s="4">
        <f>2/$H$3*SUMPRODUCT((B95+C95*Sheet1!$B$2:$B$10-Sheet1!$C$2:$C$10)*Sheet1!$B$2:$B$10)+2*$H$2*C95</f>
        <v>0.00002816220189</v>
      </c>
    </row>
    <row r="96">
      <c r="A96" s="1">
        <v>94.0</v>
      </c>
      <c r="B96" s="4">
        <f t="shared" ref="B96:C96" si="94">B95-$H$1*E95</f>
        <v>2.466365269</v>
      </c>
      <c r="C96" s="4">
        <f t="shared" si="94"/>
        <v>1.178043529</v>
      </c>
      <c r="D96" s="4">
        <f>SUMPRODUCT((B96+C96*Sheet1!$B$2:$B$10-Sheet1!$C$2:$C$10)^2)/$H$3+$H$2*C96^2</f>
        <v>2.403374048</v>
      </c>
      <c r="E96" s="4">
        <f>2/$H$3*SUMPRODUCT(B96+C96*Sheet1!$B$2:$B$10-Sheet1!$C$2:$C$10)</f>
        <v>-0.000337044236</v>
      </c>
      <c r="F96" s="4">
        <f>2/$H$3*SUMPRODUCT((B96+C96*Sheet1!$B$2:$B$10-Sheet1!$C$2:$C$10)*Sheet1!$B$2:$B$10)+2*$H$2*C96</f>
        <v>0.0000254523169</v>
      </c>
    </row>
    <row r="97">
      <c r="A97" s="1">
        <v>95.0</v>
      </c>
      <c r="B97" s="4">
        <f t="shared" ref="B97:C97" si="95">B96-$H$1*E96</f>
        <v>2.466382121</v>
      </c>
      <c r="C97" s="4">
        <f t="shared" si="95"/>
        <v>1.178042256</v>
      </c>
      <c r="D97" s="4">
        <f>SUMPRODUCT((B97+C97*Sheet1!$B$2:$B$10-Sheet1!$C$2:$C$10)^2)/$H$3+$H$2*C97^2</f>
        <v>2.403374042</v>
      </c>
      <c r="E97" s="4">
        <f>2/$H$3*SUMPRODUCT(B97+C97*Sheet1!$B$2:$B$10-Sheet1!$C$2:$C$10)</f>
        <v>-0.0003046124283</v>
      </c>
      <c r="F97" s="4">
        <f>2/$H$3*SUMPRODUCT((B97+C97*Sheet1!$B$2:$B$10-Sheet1!$C$2:$C$10)*Sheet1!$B$2:$B$10)+2*$H$2*C97</f>
        <v>0.00002300318838</v>
      </c>
    </row>
    <row r="98">
      <c r="A98" s="1">
        <v>96.0</v>
      </c>
      <c r="B98" s="4">
        <f t="shared" ref="B98:C98" si="96">B97-$H$1*E97</f>
        <v>2.466397352</v>
      </c>
      <c r="C98" s="4">
        <f t="shared" si="96"/>
        <v>1.178041106</v>
      </c>
      <c r="D98" s="4">
        <f>SUMPRODUCT((B98+C98*Sheet1!$B$2:$B$10-Sheet1!$C$2:$C$10)^2)/$H$3+$H$2*C98^2</f>
        <v>2.403374038</v>
      </c>
      <c r="E98" s="4">
        <f>2/$H$3*SUMPRODUCT(B98+C98*Sheet1!$B$2:$B$10-Sheet1!$C$2:$C$10)</f>
        <v>-0.0002753013448</v>
      </c>
      <c r="F98" s="4">
        <f>2/$H$3*SUMPRODUCT((B98+C98*Sheet1!$B$2:$B$10-Sheet1!$C$2:$C$10)*Sheet1!$B$2:$B$10)+2*$H$2*C98</f>
        <v>0.00002078972527</v>
      </c>
    </row>
    <row r="99">
      <c r="A99" s="1">
        <v>97.0</v>
      </c>
      <c r="B99" s="4">
        <f t="shared" ref="B99:C99" si="97">B98-$H$1*E98</f>
        <v>2.466411117</v>
      </c>
      <c r="C99" s="4">
        <f t="shared" si="97"/>
        <v>1.178040066</v>
      </c>
      <c r="D99" s="4">
        <f>SUMPRODUCT((B99+C99*Sheet1!$B$2:$B$10-Sheet1!$C$2:$C$10)^2)/$H$3+$H$2*C99^2</f>
        <v>2.403374034</v>
      </c>
      <c r="E99" s="4">
        <f>2/$H$3*SUMPRODUCT(B99+C99*Sheet1!$B$2:$B$10-Sheet1!$C$2:$C$10)</f>
        <v>-0.0002488106966</v>
      </c>
      <c r="F99" s="4">
        <f>2/$H$3*SUMPRODUCT((B99+C99*Sheet1!$B$2:$B$10-Sheet1!$C$2:$C$10)*Sheet1!$B$2:$B$10)+2*$H$2*C99</f>
        <v>0.00001878925085</v>
      </c>
    </row>
    <row r="100">
      <c r="A100" s="1">
        <v>98.0</v>
      </c>
      <c r="B100" s="4">
        <f t="shared" ref="B100:C100" si="98">B99-$H$1*E99</f>
        <v>2.466423558</v>
      </c>
      <c r="C100" s="4">
        <f t="shared" si="98"/>
        <v>1.178039127</v>
      </c>
      <c r="D100" s="4">
        <f>SUMPRODUCT((B100+C100*Sheet1!$B$2:$B$10-Sheet1!$C$2:$C$10)^2)/$H$3+$H$2*C100^2</f>
        <v>2.403374031</v>
      </c>
      <c r="E100" s="4">
        <f>2/$H$3*SUMPRODUCT(B100+C100*Sheet1!$B$2:$B$10-Sheet1!$C$2:$C$10)</f>
        <v>-0.0002248690895</v>
      </c>
      <c r="F100" s="4">
        <f>2/$H$3*SUMPRODUCT((B100+C100*Sheet1!$B$2:$B$10-Sheet1!$C$2:$C$10)*Sheet1!$B$2:$B$10)+2*$H$2*C100</f>
        <v>0.00001698127045</v>
      </c>
    </row>
    <row r="101">
      <c r="A101" s="1">
        <v>99.0</v>
      </c>
      <c r="B101" s="4">
        <f t="shared" ref="B101:C101" si="99">B100-$H$1*E100</f>
        <v>2.466434801</v>
      </c>
      <c r="C101" s="4">
        <f t="shared" si="99"/>
        <v>1.178038278</v>
      </c>
      <c r="D101" s="4">
        <f>SUMPRODUCT((B101+C101*Sheet1!$B$2:$B$10-Sheet1!$C$2:$C$10)^2)/$H$3+$H$2*C101^2</f>
        <v>2.403374029</v>
      </c>
      <c r="E101" s="4">
        <f>2/$H$3*SUMPRODUCT(B101+C101*Sheet1!$B$2:$B$10-Sheet1!$C$2:$C$10)</f>
        <v>-0.0002032312441</v>
      </c>
      <c r="F101" s="4">
        <f>2/$H$3*SUMPRODUCT((B101+C101*Sheet1!$B$2:$B$10-Sheet1!$C$2:$C$10)*Sheet1!$B$2:$B$10)+2*$H$2*C101</f>
        <v>0.0000153472615</v>
      </c>
    </row>
    <row r="102">
      <c r="A102" s="1">
        <v>100.0</v>
      </c>
      <c r="B102" s="4">
        <f t="shared" ref="B102:C102" si="100">B101-$H$1*E101</f>
        <v>2.466444963</v>
      </c>
      <c r="C102" s="4">
        <f t="shared" si="100"/>
        <v>1.17803751</v>
      </c>
      <c r="D102" s="4">
        <f>SUMPRODUCT((B102+C102*Sheet1!$B$2:$B$10-Sheet1!$C$2:$C$10)^2)/$H$3+$H$2*C102^2</f>
        <v>2.403374027</v>
      </c>
      <c r="E102" s="4">
        <f>2/$H$3*SUMPRODUCT(B102+C102*Sheet1!$B$2:$B$10-Sheet1!$C$2:$C$10)</f>
        <v>-0.0001836754827</v>
      </c>
      <c r="F102" s="4">
        <f>2/$H$3*SUMPRODUCT((B102+C102*Sheet1!$B$2:$B$10-Sheet1!$C$2:$C$10)*Sheet1!$B$2:$B$10)+2*$H$2*C102</f>
        <v>0.00001387048373</v>
      </c>
    </row>
    <row r="103">
      <c r="A103" s="1">
        <v>101.0</v>
      </c>
      <c r="B103" s="4">
        <f t="shared" ref="B103:C103" si="101">B102-$H$1*E102</f>
        <v>2.466454146</v>
      </c>
      <c r="C103" s="4">
        <f t="shared" si="101"/>
        <v>1.178036817</v>
      </c>
      <c r="D103" s="4">
        <f>SUMPRODUCT((B103+C103*Sheet1!$B$2:$B$10-Sheet1!$C$2:$C$10)^2)/$H$3+$H$2*C103^2</f>
        <v>2.403374025</v>
      </c>
      <c r="E103" s="4">
        <f>2/$H$3*SUMPRODUCT(B103+C103*Sheet1!$B$2:$B$10-Sheet1!$C$2:$C$10)</f>
        <v>-0.0001660014587</v>
      </c>
      <c r="F103" s="4">
        <f>2/$H$3*SUMPRODUCT((B103+C103*Sheet1!$B$2:$B$10-Sheet1!$C$2:$C$10)*Sheet1!$B$2:$B$10)+2*$H$2*C103</f>
        <v>0.00001253580771</v>
      </c>
    </row>
    <row r="104">
      <c r="A104" s="1">
        <v>102.0</v>
      </c>
      <c r="B104" s="4">
        <f t="shared" ref="B104:C104" si="102">B103-$H$1*E103</f>
        <v>2.466462446</v>
      </c>
      <c r="C104" s="4">
        <f t="shared" si="102"/>
        <v>1.17803619</v>
      </c>
      <c r="D104" s="4">
        <f>SUMPRODUCT((B104+C104*Sheet1!$B$2:$B$10-Sheet1!$C$2:$C$10)^2)/$H$3+$H$2*C104^2</f>
        <v>2.403374024</v>
      </c>
      <c r="E104" s="4">
        <f>2/$H$3*SUMPRODUCT(B104+C104*Sheet1!$B$2:$B$10-Sheet1!$C$2:$C$10)</f>
        <v>-0.0001500281032</v>
      </c>
      <c r="F104" s="4">
        <f>2/$H$3*SUMPRODUCT((B104+C104*Sheet1!$B$2:$B$10-Sheet1!$C$2:$C$10)*Sheet1!$B$2:$B$10)+2*$H$2*C104</f>
        <v>0.00001132955979</v>
      </c>
    </row>
    <row r="105">
      <c r="A105" s="1">
        <v>103.0</v>
      </c>
      <c r="B105" s="4">
        <f t="shared" ref="B105:C105" si="103">B104-$H$1*E104</f>
        <v>2.466469948</v>
      </c>
      <c r="C105" s="4">
        <f t="shared" si="103"/>
        <v>1.178035624</v>
      </c>
      <c r="D105" s="4">
        <f>SUMPRODUCT((B105+C105*Sheet1!$B$2:$B$10-Sheet1!$C$2:$C$10)^2)/$H$3+$H$2*C105^2</f>
        <v>2.403374023</v>
      </c>
      <c r="E105" s="4">
        <f>2/$H$3*SUMPRODUCT(B105+C105*Sheet1!$B$2:$B$10-Sheet1!$C$2:$C$10)</f>
        <v>-0.0001355917708</v>
      </c>
      <c r="F105" s="4">
        <f>2/$H$3*SUMPRODUCT((B105+C105*Sheet1!$B$2:$B$10-Sheet1!$C$2:$C$10)*Sheet1!$B$2:$B$10)+2*$H$2*C105</f>
        <v>0.00001023938211</v>
      </c>
    </row>
    <row r="106">
      <c r="A106" s="1">
        <v>104.0</v>
      </c>
      <c r="B106" s="4">
        <f t="shared" ref="B106:C106" si="104">B105-$H$1*E105</f>
        <v>2.466476727</v>
      </c>
      <c r="C106" s="4">
        <f t="shared" si="104"/>
        <v>1.178035112</v>
      </c>
      <c r="D106" s="4">
        <f>SUMPRODUCT((B106+C106*Sheet1!$B$2:$B$10-Sheet1!$C$2:$C$10)^2)/$H$3+$H$2*C106^2</f>
        <v>2.403374022</v>
      </c>
      <c r="E106" s="4">
        <f>2/$H$3*SUMPRODUCT(B106+C106*Sheet1!$B$2:$B$10-Sheet1!$C$2:$C$10)</f>
        <v>-0.0001225445629</v>
      </c>
      <c r="F106" s="4">
        <f>2/$H$3*SUMPRODUCT((B106+C106*Sheet1!$B$2:$B$10-Sheet1!$C$2:$C$10)*Sheet1!$B$2:$B$10)+2*$H$2*C106</f>
        <v>0.000009254105886</v>
      </c>
    </row>
    <row r="107">
      <c r="A107" s="1">
        <v>105.0</v>
      </c>
      <c r="B107" s="4">
        <f t="shared" ref="B107:C107" si="105">B106-$H$1*E106</f>
        <v>2.466482855</v>
      </c>
      <c r="C107" s="4">
        <f t="shared" si="105"/>
        <v>1.178034649</v>
      </c>
      <c r="D107" s="4">
        <f>SUMPRODUCT((B107+C107*Sheet1!$B$2:$B$10-Sheet1!$C$2:$C$10)^2)/$H$3+$H$2*C107^2</f>
        <v>2.403374021</v>
      </c>
      <c r="E107" s="4">
        <f>2/$H$3*SUMPRODUCT(B107+C107*Sheet1!$B$2:$B$10-Sheet1!$C$2:$C$10)</f>
        <v>-0.0001107528119</v>
      </c>
      <c r="F107" s="4">
        <f>2/$H$3*SUMPRODUCT((B107+C107*Sheet1!$B$2:$B$10-Sheet1!$C$2:$C$10)*Sheet1!$B$2:$B$10)+2*$H$2*C107</f>
        <v>0.000008363637068</v>
      </c>
    </row>
    <row r="108">
      <c r="A108" s="1">
        <v>106.0</v>
      </c>
      <c r="B108" s="4">
        <f t="shared" ref="B108:C108" si="106">B107-$H$1*E107</f>
        <v>2.466488392</v>
      </c>
      <c r="C108" s="4">
        <f t="shared" si="106"/>
        <v>1.178034231</v>
      </c>
      <c r="D108" s="4">
        <f>SUMPRODUCT((B108+C108*Sheet1!$B$2:$B$10-Sheet1!$C$2:$C$10)^2)/$H$3+$H$2*C108^2</f>
        <v>2.403374021</v>
      </c>
      <c r="E108" s="4">
        <f>2/$H$3*SUMPRODUCT(B108+C108*Sheet1!$B$2:$B$10-Sheet1!$C$2:$C$10)</f>
        <v>-0.0001000957125</v>
      </c>
      <c r="F108" s="4">
        <f>2/$H$3*SUMPRODUCT((B108+C108*Sheet1!$B$2:$B$10-Sheet1!$C$2:$C$10)*Sheet1!$B$2:$B$10)+2*$H$2*C108</f>
        <v>0.000007558852884</v>
      </c>
    </row>
    <row r="109">
      <c r="A109" s="1">
        <v>107.0</v>
      </c>
      <c r="B109" s="4">
        <f t="shared" ref="B109:C109" si="107">B108-$H$1*E108</f>
        <v>2.466493397</v>
      </c>
      <c r="C109" s="4">
        <f t="shared" si="107"/>
        <v>1.178033853</v>
      </c>
      <c r="D109" s="4">
        <f>SUMPRODUCT((B109+C109*Sheet1!$B$2:$B$10-Sheet1!$C$2:$C$10)^2)/$H$3+$H$2*C109^2</f>
        <v>2.40337402</v>
      </c>
      <c r="E109" s="4">
        <f>2/$H$3*SUMPRODUCT(B109+C109*Sheet1!$B$2:$B$10-Sheet1!$C$2:$C$10)</f>
        <v>-0.00009046408393</v>
      </c>
      <c r="F109" s="4">
        <f>2/$H$3*SUMPRODUCT((B109+C109*Sheet1!$B$2:$B$10-Sheet1!$C$2:$C$10)*Sheet1!$B$2:$B$10)+2*$H$2*C109</f>
        <v>0.000006831508406</v>
      </c>
    </row>
    <row r="110">
      <c r="A110" s="1">
        <v>108.0</v>
      </c>
      <c r="B110" s="4">
        <f t="shared" ref="B110:C110" si="108">B109-$H$1*E109</f>
        <v>2.46649792</v>
      </c>
      <c r="C110" s="4">
        <f t="shared" si="108"/>
        <v>1.178033511</v>
      </c>
      <c r="D110" s="4">
        <f>SUMPRODUCT((B110+C110*Sheet1!$B$2:$B$10-Sheet1!$C$2:$C$10)^2)/$H$3+$H$2*C110^2</f>
        <v>2.40337402</v>
      </c>
      <c r="E110" s="4">
        <f>2/$H$3*SUMPRODUCT(B110+C110*Sheet1!$B$2:$B$10-Sheet1!$C$2:$C$10)</f>
        <v>-0.00008175925096</v>
      </c>
      <c r="F110" s="4">
        <f>2/$H$3*SUMPRODUCT((B110+C110*Sheet1!$B$2:$B$10-Sheet1!$C$2:$C$10)*Sheet1!$B$2:$B$10)+2*$H$2*C110</f>
        <v>0.00000617415206</v>
      </c>
    </row>
    <row r="111">
      <c r="A111" s="1">
        <v>109.0</v>
      </c>
      <c r="B111" s="4">
        <f t="shared" ref="B111:C111" si="109">B110-$H$1*E110</f>
        <v>2.466502008</v>
      </c>
      <c r="C111" s="4">
        <f t="shared" si="109"/>
        <v>1.178033203</v>
      </c>
      <c r="D111" s="4">
        <f>SUMPRODUCT((B111+C111*Sheet1!$B$2:$B$10-Sheet1!$C$2:$C$10)^2)/$H$3+$H$2*C111^2</f>
        <v>2.403374019</v>
      </c>
      <c r="E111" s="4">
        <f>2/$H$3*SUMPRODUCT(B111+C111*Sheet1!$B$2:$B$10-Sheet1!$C$2:$C$10)</f>
        <v>-0.00007389203347</v>
      </c>
      <c r="F111" s="4">
        <f>2/$H$3*SUMPRODUCT((B111+C111*Sheet1!$B$2:$B$10-Sheet1!$C$2:$C$10)*Sheet1!$B$2:$B$10)+2*$H$2*C111</f>
        <v>0.000005580049296</v>
      </c>
    </row>
    <row r="112">
      <c r="A112" s="1">
        <v>110.0</v>
      </c>
      <c r="B112" s="4">
        <f t="shared" ref="B112:C112" si="110">B111-$H$1*E111</f>
        <v>2.466505703</v>
      </c>
      <c r="C112" s="4">
        <f t="shared" si="110"/>
        <v>1.178032924</v>
      </c>
      <c r="D112" s="4">
        <f>SUMPRODUCT((B112+C112*Sheet1!$B$2:$B$10-Sheet1!$C$2:$C$10)^2)/$H$3+$H$2*C112^2</f>
        <v>2.403374019</v>
      </c>
      <c r="E112" s="4">
        <f>2/$H$3*SUMPRODUCT(B112+C112*Sheet1!$B$2:$B$10-Sheet1!$C$2:$C$10)</f>
        <v>-0.00006678183259</v>
      </c>
      <c r="F112" s="4">
        <f>2/$H$3*SUMPRODUCT((B112+C112*Sheet1!$B$2:$B$10-Sheet1!$C$2:$C$10)*Sheet1!$B$2:$B$10)+2*$H$2*C112</f>
        <v>0.000005043113585</v>
      </c>
    </row>
    <row r="113">
      <c r="A113" s="1">
        <v>111.0</v>
      </c>
      <c r="B113" s="4">
        <f t="shared" ref="B113:C113" si="111">B112-$H$1*E112</f>
        <v>2.466509042</v>
      </c>
      <c r="C113" s="4">
        <f t="shared" si="111"/>
        <v>1.178032671</v>
      </c>
      <c r="D113" s="4">
        <f>SUMPRODUCT((B113+C113*Sheet1!$B$2:$B$10-Sheet1!$C$2:$C$10)^2)/$H$3+$H$2*C113^2</f>
        <v>2.403374019</v>
      </c>
      <c r="E113" s="4">
        <f>2/$H$3*SUMPRODUCT(B113+C113*Sheet1!$B$2:$B$10-Sheet1!$C$2:$C$10)</f>
        <v>-0.00006035580501</v>
      </c>
      <c r="F113" s="4">
        <f>2/$H$3*SUMPRODUCT((B113+C113*Sheet1!$B$2:$B$10-Sheet1!$C$2:$C$10)*Sheet1!$B$2:$B$10)+2*$H$2*C113</f>
        <v>0.000004557844079</v>
      </c>
    </row>
    <row r="114">
      <c r="A114" s="1">
        <v>112.0</v>
      </c>
      <c r="B114" s="4">
        <f t="shared" ref="B114:C114" si="112">B113-$H$1*E113</f>
        <v>2.46651206</v>
      </c>
      <c r="C114" s="4">
        <f t="shared" si="112"/>
        <v>1.178032443</v>
      </c>
      <c r="D114" s="4">
        <f>SUMPRODUCT((B114+C114*Sheet1!$B$2:$B$10-Sheet1!$C$2:$C$10)^2)/$H$3+$H$2*C114^2</f>
        <v>2.403374019</v>
      </c>
      <c r="E114" s="4">
        <f>2/$H$3*SUMPRODUCT(B114+C114*Sheet1!$B$2:$B$10-Sheet1!$C$2:$C$10)</f>
        <v>-0.00005454811671</v>
      </c>
      <c r="F114" s="4">
        <f>2/$H$3*SUMPRODUCT((B114+C114*Sheet1!$B$2:$B$10-Sheet1!$C$2:$C$10)*Sheet1!$B$2:$B$10)+2*$H$2*C114</f>
        <v>0.000004119269235</v>
      </c>
    </row>
    <row r="115">
      <c r="A115" s="1">
        <v>113.0</v>
      </c>
      <c r="B115" s="4">
        <f t="shared" ref="B115:C115" si="113">B114-$H$1*E114</f>
        <v>2.466514787</v>
      </c>
      <c r="C115" s="4">
        <f t="shared" si="113"/>
        <v>1.178032238</v>
      </c>
      <c r="D115" s="4">
        <f>SUMPRODUCT((B115+C115*Sheet1!$B$2:$B$10-Sheet1!$C$2:$C$10)^2)/$H$3+$H$2*C115^2</f>
        <v>2.403374019</v>
      </c>
      <c r="E115" s="4">
        <f>2/$H$3*SUMPRODUCT(B115+C115*Sheet1!$B$2:$B$10-Sheet1!$C$2:$C$10)</f>
        <v>-0.0000492992685</v>
      </c>
      <c r="F115" s="4">
        <f>2/$H$3*SUMPRODUCT((B115+C115*Sheet1!$B$2:$B$10-Sheet1!$C$2:$C$10)*Sheet1!$B$2:$B$10)+2*$H$2*C115</f>
        <v>0.000003722895899</v>
      </c>
    </row>
    <row r="116">
      <c r="A116" s="1">
        <v>114.0</v>
      </c>
      <c r="B116" s="4">
        <f t="shared" ref="B116:C116" si="114">B115-$H$1*E115</f>
        <v>2.466517252</v>
      </c>
      <c r="C116" s="4">
        <f t="shared" si="114"/>
        <v>1.178032051</v>
      </c>
      <c r="D116" s="4">
        <f>SUMPRODUCT((B116+C116*Sheet1!$B$2:$B$10-Sheet1!$C$2:$C$10)^2)/$H$3+$H$2*C116^2</f>
        <v>2.403374018</v>
      </c>
      <c r="E116" s="4">
        <f>2/$H$3*SUMPRODUCT(B116+C116*Sheet1!$B$2:$B$10-Sheet1!$C$2:$C$10)</f>
        <v>-0.00004455548645</v>
      </c>
      <c r="F116" s="4">
        <f>2/$H$3*SUMPRODUCT((B116+C116*Sheet1!$B$2:$B$10-Sheet1!$C$2:$C$10)*Sheet1!$B$2:$B$10)+2*$H$2*C116</f>
        <v>0.000003364663267</v>
      </c>
    </row>
    <row r="117">
      <c r="A117" s="1">
        <v>115.0</v>
      </c>
      <c r="B117" s="4">
        <f t="shared" ref="B117:C117" si="115">B116-$H$1*E116</f>
        <v>2.46651948</v>
      </c>
      <c r="C117" s="4">
        <f t="shared" si="115"/>
        <v>1.178031883</v>
      </c>
      <c r="D117" s="4">
        <f>SUMPRODUCT((B117+C117*Sheet1!$B$2:$B$10-Sheet1!$C$2:$C$10)^2)/$H$3+$H$2*C117^2</f>
        <v>2.403374018</v>
      </c>
      <c r="E117" s="4">
        <f>2/$H$3*SUMPRODUCT(B117+C117*Sheet1!$B$2:$B$10-Sheet1!$C$2:$C$10)</f>
        <v>-0.00004026817096</v>
      </c>
      <c r="F117" s="4">
        <f>2/$H$3*SUMPRODUCT((B117+C117*Sheet1!$B$2:$B$10-Sheet1!$C$2:$C$10)*Sheet1!$B$2:$B$10)+2*$H$2*C117</f>
        <v>0.000003040901279</v>
      </c>
    </row>
    <row r="118">
      <c r="A118" s="1">
        <v>116.0</v>
      </c>
      <c r="B118" s="4">
        <f t="shared" ref="B118:C118" si="116">B117-$H$1*E117</f>
        <v>2.466521493</v>
      </c>
      <c r="C118" s="4">
        <f t="shared" si="116"/>
        <v>1.178031731</v>
      </c>
      <c r="D118" s="4">
        <f>SUMPRODUCT((B118+C118*Sheet1!$B$2:$B$10-Sheet1!$C$2:$C$10)^2)/$H$3+$H$2*C118^2</f>
        <v>2.403374018</v>
      </c>
      <c r="E118" s="4">
        <f>2/$H$3*SUMPRODUCT(B118+C118*Sheet1!$B$2:$B$10-Sheet1!$C$2:$C$10)</f>
        <v>-0.00003639339893</v>
      </c>
      <c r="F118" s="4">
        <f>2/$H$3*SUMPRODUCT((B118+C118*Sheet1!$B$2:$B$10-Sheet1!$C$2:$C$10)*Sheet1!$B$2:$B$10)+2*$H$2*C118</f>
        <v>0.000002748293025</v>
      </c>
    </row>
    <row r="119">
      <c r="A119" s="1">
        <v>117.0</v>
      </c>
      <c r="B119" s="4">
        <f t="shared" ref="B119:C119" si="117">B118-$H$1*E118</f>
        <v>2.466523313</v>
      </c>
      <c r="C119" s="4">
        <f t="shared" si="117"/>
        <v>1.178031594</v>
      </c>
      <c r="D119" s="4">
        <f>SUMPRODUCT((B119+C119*Sheet1!$B$2:$B$10-Sheet1!$C$2:$C$10)^2)/$H$3+$H$2*C119^2</f>
        <v>2.403374018</v>
      </c>
      <c r="E119" s="4">
        <f>2/$H$3*SUMPRODUCT(B119+C119*Sheet1!$B$2:$B$10-Sheet1!$C$2:$C$10)</f>
        <v>-0.00003289147369</v>
      </c>
      <c r="F119" s="4">
        <f>2/$H$3*SUMPRODUCT((B119+C119*Sheet1!$B$2:$B$10-Sheet1!$C$2:$C$10)*Sheet1!$B$2:$B$10)+2*$H$2*C119</f>
        <v>0.000002483840762</v>
      </c>
    </row>
    <row r="120">
      <c r="A120" s="1">
        <v>118.0</v>
      </c>
      <c r="B120" s="4">
        <f t="shared" ref="B120:C120" si="118">B119-$H$1*E119</f>
        <v>2.466524958</v>
      </c>
      <c r="C120" s="4">
        <f t="shared" si="118"/>
        <v>1.178031469</v>
      </c>
      <c r="D120" s="4">
        <f>SUMPRODUCT((B120+C120*Sheet1!$B$2:$B$10-Sheet1!$C$2:$C$10)^2)/$H$3+$H$2*C120^2</f>
        <v>2.403374018</v>
      </c>
      <c r="E120" s="4">
        <f>2/$H$3*SUMPRODUCT(B120+C120*Sheet1!$B$2:$B$10-Sheet1!$C$2:$C$10)</f>
        <v>-0.00002972651836</v>
      </c>
      <c r="F120" s="4">
        <f>2/$H$3*SUMPRODUCT((B120+C120*Sheet1!$B$2:$B$10-Sheet1!$C$2:$C$10)*Sheet1!$B$2:$B$10)+2*$H$2*C120</f>
        <v>0.000002244835201</v>
      </c>
    </row>
    <row r="121">
      <c r="A121" s="1">
        <v>119.0</v>
      </c>
      <c r="B121" s="4">
        <f t="shared" ref="B121:C121" si="119">B120-$H$1*E120</f>
        <v>2.466526444</v>
      </c>
      <c r="C121" s="4">
        <f t="shared" si="119"/>
        <v>1.178031357</v>
      </c>
      <c r="D121" s="4">
        <f>SUMPRODUCT((B121+C121*Sheet1!$B$2:$B$10-Sheet1!$C$2:$C$10)^2)/$H$3+$H$2*C121^2</f>
        <v>2.403374018</v>
      </c>
      <c r="E121" s="4">
        <f>2/$H$3*SUMPRODUCT(B121+C121*Sheet1!$B$2:$B$10-Sheet1!$C$2:$C$10)</f>
        <v>-0.00002686610828</v>
      </c>
      <c r="F121" s="4">
        <f>2/$H$3*SUMPRODUCT((B121+C121*Sheet1!$B$2:$B$10-Sheet1!$C$2:$C$10)*Sheet1!$B$2:$B$10)+2*$H$2*C121</f>
        <v>0.000002028827755</v>
      </c>
    </row>
    <row r="122">
      <c r="A122" s="1">
        <v>120.0</v>
      </c>
      <c r="B122" s="4">
        <f t="shared" ref="B122:C122" si="120">B121-$H$1*E121</f>
        <v>2.466527787</v>
      </c>
      <c r="C122" s="4">
        <f t="shared" si="120"/>
        <v>1.178031256</v>
      </c>
      <c r="D122" s="4">
        <f>SUMPRODUCT((B122+C122*Sheet1!$B$2:$B$10-Sheet1!$C$2:$C$10)^2)/$H$3+$H$2*C122^2</f>
        <v>2.403374018</v>
      </c>
      <c r="E122" s="4">
        <f>2/$H$3*SUMPRODUCT(B122+C122*Sheet1!$B$2:$B$10-Sheet1!$C$2:$C$10)</f>
        <v>-0.00002428093884</v>
      </c>
      <c r="F122" s="4">
        <f>2/$H$3*SUMPRODUCT((B122+C122*Sheet1!$B$2:$B$10-Sheet1!$C$2:$C$10)*Sheet1!$B$2:$B$10)+2*$H$2*C122</f>
        <v>0.000001833605457</v>
      </c>
    </row>
    <row r="123">
      <c r="A123" s="1">
        <v>121.0</v>
      </c>
      <c r="B123" s="4">
        <f t="shared" ref="B123:C123" si="121">B122-$H$1*E122</f>
        <v>2.466529001</v>
      </c>
      <c r="C123" s="4">
        <f t="shared" si="121"/>
        <v>1.178031164</v>
      </c>
      <c r="D123" s="4">
        <f>SUMPRODUCT((B123+C123*Sheet1!$B$2:$B$10-Sheet1!$C$2:$C$10)^2)/$H$3+$H$2*C123^2</f>
        <v>2.403374018</v>
      </c>
      <c r="E123" s="4">
        <f>2/$H$3*SUMPRODUCT(B123+C123*Sheet1!$B$2:$B$10-Sheet1!$C$2:$C$10)</f>
        <v>-0.00002194452523</v>
      </c>
      <c r="F123" s="4">
        <f>2/$H$3*SUMPRODUCT((B123+C123*Sheet1!$B$2:$B$10-Sheet1!$C$2:$C$10)*Sheet1!$B$2:$B$10)+2*$H$2*C123</f>
        <v>0.000001657168259</v>
      </c>
    </row>
    <row r="124">
      <c r="A124" s="1">
        <v>122.0</v>
      </c>
      <c r="B124" s="4">
        <f t="shared" ref="B124:C124" si="122">B123-$H$1*E123</f>
        <v>2.466530098</v>
      </c>
      <c r="C124" s="4">
        <f t="shared" si="122"/>
        <v>1.178031081</v>
      </c>
      <c r="D124" s="4">
        <f>SUMPRODUCT((B124+C124*Sheet1!$B$2:$B$10-Sheet1!$C$2:$C$10)^2)/$H$3+$H$2*C124^2</f>
        <v>2.403374018</v>
      </c>
      <c r="E124" s="4">
        <f>2/$H$3*SUMPRODUCT(B124+C124*Sheet1!$B$2:$B$10-Sheet1!$C$2:$C$10)</f>
        <v>-0.00001983293112</v>
      </c>
      <c r="F124" s="4">
        <f>2/$H$3*SUMPRODUCT((B124+C124*Sheet1!$B$2:$B$10-Sheet1!$C$2:$C$10)*Sheet1!$B$2:$B$10)+2*$H$2*C124</f>
        <v>0.000001497708589</v>
      </c>
    </row>
    <row r="125">
      <c r="A125" s="1">
        <v>123.0</v>
      </c>
      <c r="B125" s="4">
        <f t="shared" ref="B125:C125" si="123">B124-$H$1*E124</f>
        <v>2.46653109</v>
      </c>
      <c r="C125" s="4">
        <f t="shared" si="123"/>
        <v>1.178031006</v>
      </c>
      <c r="D125" s="4">
        <f>SUMPRODUCT((B125+C125*Sheet1!$B$2:$B$10-Sheet1!$C$2:$C$10)^2)/$H$3+$H$2*C125^2</f>
        <v>2.403374018</v>
      </c>
      <c r="E125" s="4">
        <f>2/$H$3*SUMPRODUCT(B125+C125*Sheet1!$B$2:$B$10-Sheet1!$C$2:$C$10)</f>
        <v>-0.00001792452344</v>
      </c>
      <c r="F125" s="4">
        <f>2/$H$3*SUMPRODUCT((B125+C125*Sheet1!$B$2:$B$10-Sheet1!$C$2:$C$10)*Sheet1!$B$2:$B$10)+2*$H$2*C125</f>
        <v>0.000001353592801</v>
      </c>
    </row>
    <row r="126">
      <c r="A126" s="1">
        <v>124.0</v>
      </c>
      <c r="B126" s="4">
        <f t="shared" ref="B126:C126" si="124">B125-$H$1*E125</f>
        <v>2.466531986</v>
      </c>
      <c r="C126" s="4">
        <f t="shared" si="124"/>
        <v>1.178030939</v>
      </c>
      <c r="D126" s="4">
        <f>SUMPRODUCT((B126+C126*Sheet1!$B$2:$B$10-Sheet1!$C$2:$C$10)^2)/$H$3+$H$2*C126^2</f>
        <v>2.403374018</v>
      </c>
      <c r="E126" s="4">
        <f>2/$H$3*SUMPRODUCT(B126+C126*Sheet1!$B$2:$B$10-Sheet1!$C$2:$C$10)</f>
        <v>-0.00001619975074</v>
      </c>
      <c r="F126" s="4">
        <f>2/$H$3*SUMPRODUCT((B126+C126*Sheet1!$B$2:$B$10-Sheet1!$C$2:$C$10)*Sheet1!$B$2:$B$10)+2*$H$2*C126</f>
        <v>0.000001223344429</v>
      </c>
    </row>
    <row r="127">
      <c r="A127" s="1">
        <v>125.0</v>
      </c>
      <c r="B127" s="4">
        <f t="shared" ref="B127:C127" si="125">B126-$H$1*E126</f>
        <v>2.466532796</v>
      </c>
      <c r="C127" s="4">
        <f t="shared" si="125"/>
        <v>1.178030878</v>
      </c>
      <c r="D127" s="4">
        <f>SUMPRODUCT((B127+C127*Sheet1!$B$2:$B$10-Sheet1!$C$2:$C$10)^2)/$H$3+$H$2*C127^2</f>
        <v>2.403374018</v>
      </c>
      <c r="E127" s="4">
        <f>2/$H$3*SUMPRODUCT(B127+C127*Sheet1!$B$2:$B$10-Sheet1!$C$2:$C$10)</f>
        <v>-0.00001464094288</v>
      </c>
      <c r="F127" s="4">
        <f>2/$H$3*SUMPRODUCT((B127+C127*Sheet1!$B$2:$B$10-Sheet1!$C$2:$C$10)*Sheet1!$B$2:$B$10)+2*$H$2*C127</f>
        <v>0.000001105629107</v>
      </c>
    </row>
    <row r="128">
      <c r="A128" s="1">
        <v>126.0</v>
      </c>
      <c r="B128" s="4">
        <f t="shared" ref="B128:C128" si="126">B127-$H$1*E127</f>
        <v>2.466533528</v>
      </c>
      <c r="C128" s="4">
        <f t="shared" si="126"/>
        <v>1.178030822</v>
      </c>
      <c r="D128" s="4">
        <f>SUMPRODUCT((B128+C128*Sheet1!$B$2:$B$10-Sheet1!$C$2:$C$10)^2)/$H$3+$H$2*C128^2</f>
        <v>2.403374018</v>
      </c>
      <c r="E128" s="4">
        <f>2/$H$3*SUMPRODUCT(B128+C128*Sheet1!$B$2:$B$10-Sheet1!$C$2:$C$10)</f>
        <v>-0.00001323213005</v>
      </c>
      <c r="F128" s="4">
        <f>2/$H$3*SUMPRODUCT((B128+C128*Sheet1!$B$2:$B$10-Sheet1!$C$2:$C$10)*Sheet1!$B$2:$B$10)+2*$H$2*C128</f>
        <v>0.000000999240843</v>
      </c>
    </row>
    <row r="129">
      <c r="A129" s="1">
        <v>127.0</v>
      </c>
      <c r="B129" s="4">
        <f t="shared" ref="B129:C129" si="127">B128-$H$1*E128</f>
        <v>2.46653419</v>
      </c>
      <c r="C129" s="4">
        <f t="shared" si="127"/>
        <v>1.178030772</v>
      </c>
      <c r="D129" s="4">
        <f>SUMPRODUCT((B129+C129*Sheet1!$B$2:$B$10-Sheet1!$C$2:$C$10)^2)/$H$3+$H$2*C129^2</f>
        <v>2.403374018</v>
      </c>
      <c r="E129" s="4">
        <f>2/$H$3*SUMPRODUCT(B129+C129*Sheet1!$B$2:$B$10-Sheet1!$C$2:$C$10)</f>
        <v>-0.00001195887909</v>
      </c>
      <c r="F129" s="4">
        <f>2/$H$3*SUMPRODUCT((B129+C129*Sheet1!$B$2:$B$10-Sheet1!$C$2:$C$10)*Sheet1!$B$2:$B$10)+2*$H$2*C129</f>
        <v>0.0000009030897087</v>
      </c>
    </row>
    <row r="130">
      <c r="A130" s="1">
        <v>128.0</v>
      </c>
      <c r="B130" s="4">
        <f t="shared" ref="B130:C130" si="128">B129-$H$1*E129</f>
        <v>2.466534788</v>
      </c>
      <c r="C130" s="4">
        <f t="shared" si="128"/>
        <v>1.178030727</v>
      </c>
      <c r="D130" s="4">
        <f>SUMPRODUCT((B130+C130*Sheet1!$B$2:$B$10-Sheet1!$C$2:$C$10)^2)/$H$3+$H$2*C130^2</f>
        <v>2.403374018</v>
      </c>
      <c r="E130" s="4">
        <f>2/$H$3*SUMPRODUCT(B130+C130*Sheet1!$B$2:$B$10-Sheet1!$C$2:$C$10)</f>
        <v>-0.00001080814566</v>
      </c>
      <c r="F130" s="4">
        <f>2/$H$3*SUMPRODUCT((B130+C130*Sheet1!$B$2:$B$10-Sheet1!$C$2:$C$10)*Sheet1!$B$2:$B$10)+2*$H$2*C130</f>
        <v>0.0000008161906329</v>
      </c>
    </row>
    <row r="131">
      <c r="A131" s="1">
        <v>129.0</v>
      </c>
      <c r="B131" s="4">
        <f t="shared" ref="B131:C131" si="129">B130-$H$1*E130</f>
        <v>2.466535328</v>
      </c>
      <c r="C131" s="4">
        <f t="shared" si="129"/>
        <v>1.178030686</v>
      </c>
      <c r="D131" s="4">
        <f>SUMPRODUCT((B131+C131*Sheet1!$B$2:$B$10-Sheet1!$C$2:$C$10)^2)/$H$3+$H$2*C131^2</f>
        <v>2.403374018</v>
      </c>
      <c r="E131" s="4">
        <f>2/$H$3*SUMPRODUCT(B131+C131*Sheet1!$B$2:$B$10-Sheet1!$C$2:$C$10)</f>
        <v>-0.00000976814063</v>
      </c>
      <c r="F131" s="4">
        <f>2/$H$3*SUMPRODUCT((B131+C131*Sheet1!$B$2:$B$10-Sheet1!$C$2:$C$10)*Sheet1!$B$2:$B$10)+2*$H$2*C131</f>
        <v>0.0000007376533513</v>
      </c>
    </row>
    <row r="132">
      <c r="A132" s="1">
        <v>130.0</v>
      </c>
      <c r="B132" s="4">
        <f t="shared" ref="B132:C132" si="130">B131-$H$1*E131</f>
        <v>2.466535817</v>
      </c>
      <c r="C132" s="4">
        <f t="shared" si="130"/>
        <v>1.178030649</v>
      </c>
      <c r="D132" s="4">
        <f>SUMPRODUCT((B132+C132*Sheet1!$B$2:$B$10-Sheet1!$C$2:$C$10)^2)/$H$3+$H$2*C132^2</f>
        <v>2.403374018</v>
      </c>
      <c r="E132" s="4">
        <f>2/$H$3*SUMPRODUCT(B132+C132*Sheet1!$B$2:$B$10-Sheet1!$C$2:$C$10)</f>
        <v>-0.000008828209234</v>
      </c>
      <c r="F132" s="4">
        <f>2/$H$3*SUMPRODUCT((B132+C132*Sheet1!$B$2:$B$10-Sheet1!$C$2:$C$10)*Sheet1!$B$2:$B$10)+2*$H$2*C132</f>
        <v>0.0000006666732582</v>
      </c>
    </row>
    <row r="133">
      <c r="A133" s="1">
        <v>131.0</v>
      </c>
      <c r="B133" s="4">
        <f t="shared" ref="B133:C133" si="131">B132-$H$1*E132</f>
        <v>2.466536258</v>
      </c>
      <c r="C133" s="4">
        <f t="shared" si="131"/>
        <v>1.178030616</v>
      </c>
      <c r="D133" s="4">
        <f>SUMPRODUCT((B133+C133*Sheet1!$B$2:$B$10-Sheet1!$C$2:$C$10)^2)/$H$3+$H$2*C133^2</f>
        <v>2.403374018</v>
      </c>
      <c r="E133" s="4">
        <f>2/$H$3*SUMPRODUCT(B133+C133*Sheet1!$B$2:$B$10-Sheet1!$C$2:$C$10)</f>
        <v>-0.000007978721974</v>
      </c>
      <c r="F133" s="4">
        <f>2/$H$3*SUMPRODUCT((B133+C133*Sheet1!$B$2:$B$10-Sheet1!$C$2:$C$10)*Sheet1!$B$2:$B$10)+2*$H$2*C133</f>
        <v>0.0000006025231648</v>
      </c>
    </row>
    <row r="134">
      <c r="A134" s="1">
        <v>132.0</v>
      </c>
      <c r="B134" s="4">
        <f t="shared" ref="B134:C134" si="132">B133-$H$1*E133</f>
        <v>2.466536657</v>
      </c>
      <c r="C134" s="4">
        <f t="shared" si="132"/>
        <v>1.178030586</v>
      </c>
      <c r="D134" s="4">
        <f>SUMPRODUCT((B134+C134*Sheet1!$B$2:$B$10-Sheet1!$C$2:$C$10)^2)/$H$3+$H$2*C134^2</f>
        <v>2.403374018</v>
      </c>
      <c r="E134" s="4">
        <f>2/$H$3*SUMPRODUCT(B134+C134*Sheet1!$B$2:$B$10-Sheet1!$C$2:$C$10)</f>
        <v>-0.000007210975934</v>
      </c>
      <c r="F134" s="4">
        <f>2/$H$3*SUMPRODUCT((B134+C134*Sheet1!$B$2:$B$10-Sheet1!$C$2:$C$10)*Sheet1!$B$2:$B$10)+2*$H$2*C134</f>
        <v>0.0000005445458642</v>
      </c>
    </row>
    <row r="135">
      <c r="A135" s="1">
        <v>133.0</v>
      </c>
      <c r="B135" s="4">
        <f t="shared" ref="B135:C135" si="133">B134-$H$1*E134</f>
        <v>2.466537018</v>
      </c>
      <c r="C135" s="4">
        <f t="shared" si="133"/>
        <v>1.178030559</v>
      </c>
      <c r="D135" s="4">
        <f>SUMPRODUCT((B135+C135*Sheet1!$B$2:$B$10-Sheet1!$C$2:$C$10)^2)/$H$3+$H$2*C135^2</f>
        <v>2.403374018</v>
      </c>
      <c r="E135" s="4">
        <f>2/$H$3*SUMPRODUCT(B135+C135*Sheet1!$B$2:$B$10-Sheet1!$C$2:$C$10)</f>
        <v>-0.000006517105634</v>
      </c>
      <c r="F135" s="4">
        <f>2/$H$3*SUMPRODUCT((B135+C135*Sheet1!$B$2:$B$10-Sheet1!$C$2:$C$10)*Sheet1!$B$2:$B$10)+2*$H$2*C135</f>
        <v>0.0000004921473787</v>
      </c>
    </row>
    <row r="136">
      <c r="A136" s="1">
        <v>134.0</v>
      </c>
      <c r="B136" s="4">
        <f t="shared" ref="B136:C136" si="134">B135-$H$1*E135</f>
        <v>2.466537343</v>
      </c>
      <c r="C136" s="4">
        <f t="shared" si="134"/>
        <v>1.178030534</v>
      </c>
      <c r="D136" s="4">
        <f>SUMPRODUCT((B136+C136*Sheet1!$B$2:$B$10-Sheet1!$C$2:$C$10)^2)/$H$3+$H$2*C136^2</f>
        <v>2.403374018</v>
      </c>
      <c r="E136" s="4">
        <f>2/$H$3*SUMPRODUCT(B136+C136*Sheet1!$B$2:$B$10-Sheet1!$C$2:$C$10)</f>
        <v>-0.00000589000244</v>
      </c>
      <c r="F136" s="4">
        <f>2/$H$3*SUMPRODUCT((B136+C136*Sheet1!$B$2:$B$10-Sheet1!$C$2:$C$10)*Sheet1!$B$2:$B$10)+2*$H$2*C136</f>
        <v>0.0000004447908969</v>
      </c>
    </row>
    <row r="137">
      <c r="A137" s="1">
        <v>135.0</v>
      </c>
      <c r="B137" s="4">
        <f t="shared" ref="B137:C137" si="135">B136-$H$1*E136</f>
        <v>2.466537638</v>
      </c>
      <c r="C137" s="4">
        <f t="shared" si="135"/>
        <v>1.178030512</v>
      </c>
      <c r="D137" s="4">
        <f>SUMPRODUCT((B137+C137*Sheet1!$B$2:$B$10-Sheet1!$C$2:$C$10)^2)/$H$3+$H$2*C137^2</f>
        <v>2.403374018</v>
      </c>
      <c r="E137" s="4">
        <f>2/$H$3*SUMPRODUCT(B137+C137*Sheet1!$B$2:$B$10-Sheet1!$C$2:$C$10)</f>
        <v>-0.000005323241741</v>
      </c>
      <c r="F137" s="4">
        <f>2/$H$3*SUMPRODUCT((B137+C137*Sheet1!$B$2:$B$10-Sheet1!$C$2:$C$10)*Sheet1!$B$2:$B$10)+2*$H$2*C137</f>
        <v>0.0000004019912549</v>
      </c>
    </row>
    <row r="138">
      <c r="A138" s="1">
        <v>136.0</v>
      </c>
      <c r="B138" s="4">
        <f t="shared" ref="B138:C138" si="136">B137-$H$1*E137</f>
        <v>2.466537904</v>
      </c>
      <c r="C138" s="4">
        <f t="shared" si="136"/>
        <v>1.178030492</v>
      </c>
      <c r="D138" s="4">
        <f>SUMPRODUCT((B138+C138*Sheet1!$B$2:$B$10-Sheet1!$C$2:$C$10)^2)/$H$3+$H$2*C138^2</f>
        <v>2.403374018</v>
      </c>
      <c r="E138" s="4">
        <f>2/$H$3*SUMPRODUCT(B138+C138*Sheet1!$B$2:$B$10-Sheet1!$C$2:$C$10)</f>
        <v>-0.000004811017129</v>
      </c>
      <c r="F138" s="4">
        <f>2/$H$3*SUMPRODUCT((B138+C138*Sheet1!$B$2:$B$10-Sheet1!$C$2:$C$10)*Sheet1!$B$2:$B$10)+2*$H$2*C138</f>
        <v>0.0000003633099743</v>
      </c>
    </row>
    <row r="139">
      <c r="A139" s="1">
        <v>137.0</v>
      </c>
      <c r="B139" s="4">
        <f t="shared" ref="B139:C139" si="137">B138-$H$1*E138</f>
        <v>2.466538145</v>
      </c>
      <c r="C139" s="4">
        <f t="shared" si="137"/>
        <v>1.178030474</v>
      </c>
      <c r="D139" s="4">
        <f>SUMPRODUCT((B139+C139*Sheet1!$B$2:$B$10-Sheet1!$C$2:$C$10)^2)/$H$3+$H$2*C139^2</f>
        <v>2.403374018</v>
      </c>
      <c r="E139" s="4">
        <f>2/$H$3*SUMPRODUCT(B139+C139*Sheet1!$B$2:$B$10-Sheet1!$C$2:$C$10)</f>
        <v>-0.000004348080915</v>
      </c>
      <c r="F139" s="4">
        <f>2/$H$3*SUMPRODUCT((B139+C139*Sheet1!$B$2:$B$10-Sheet1!$C$2:$C$10)*Sheet1!$B$2:$B$10)+2*$H$2*C139</f>
        <v>0.0000003283507684</v>
      </c>
    </row>
    <row r="140">
      <c r="A140" s="1">
        <v>138.0</v>
      </c>
      <c r="B140" s="4">
        <f t="shared" ref="B140:C140" si="138">B139-$H$1*E139</f>
        <v>2.466538362</v>
      </c>
      <c r="C140" s="4">
        <f t="shared" si="138"/>
        <v>1.178030457</v>
      </c>
      <c r="D140" s="4">
        <f>SUMPRODUCT((B140+C140*Sheet1!$B$2:$B$10-Sheet1!$C$2:$C$10)^2)/$H$3+$H$2*C140^2</f>
        <v>2.403374018</v>
      </c>
      <c r="E140" s="4">
        <f>2/$H$3*SUMPRODUCT(B140+C140*Sheet1!$B$2:$B$10-Sheet1!$C$2:$C$10)</f>
        <v>-0.000003929690361</v>
      </c>
      <c r="F140" s="4">
        <f>2/$H$3*SUMPRODUCT((B140+C140*Sheet1!$B$2:$B$10-Sheet1!$C$2:$C$10)*Sheet1!$B$2:$B$10)+2*$H$2*C140</f>
        <v>0.000000296755481</v>
      </c>
    </row>
    <row r="141">
      <c r="A141" s="1">
        <v>139.0</v>
      </c>
      <c r="B141" s="4">
        <f t="shared" ref="B141:C141" si="139">B140-$H$1*E140</f>
        <v>2.466538559</v>
      </c>
      <c r="C141" s="4">
        <f t="shared" si="139"/>
        <v>1.178030442</v>
      </c>
      <c r="D141" s="4">
        <f>SUMPRODUCT((B141+C141*Sheet1!$B$2:$B$10-Sheet1!$C$2:$C$10)^2)/$H$3+$H$2*C141^2</f>
        <v>2.403374018</v>
      </c>
      <c r="E141" s="4">
        <f>2/$H$3*SUMPRODUCT(B141+C141*Sheet1!$B$2:$B$10-Sheet1!$C$2:$C$10)</f>
        <v>-0.0000035515591</v>
      </c>
      <c r="F141" s="4">
        <f>2/$H$3*SUMPRODUCT((B141+C141*Sheet1!$B$2:$B$10-Sheet1!$C$2:$C$10)*Sheet1!$B$2:$B$10)+2*$H$2*C141</f>
        <v>0.000000268200425</v>
      </c>
    </row>
    <row r="142">
      <c r="A142" s="1">
        <v>140.0</v>
      </c>
      <c r="B142" s="4">
        <f t="shared" ref="B142:C142" si="140">B141-$H$1*E141</f>
        <v>2.466538736</v>
      </c>
      <c r="C142" s="4">
        <f t="shared" si="140"/>
        <v>1.178030429</v>
      </c>
      <c r="D142" s="4">
        <f>SUMPRODUCT((B142+C142*Sheet1!$B$2:$B$10-Sheet1!$C$2:$C$10)^2)/$H$3+$H$2*C142^2</f>
        <v>2.403374018</v>
      </c>
      <c r="E142" s="4">
        <f>2/$H$3*SUMPRODUCT(B142+C142*Sheet1!$B$2:$B$10-Sheet1!$C$2:$C$10)</f>
        <v>-0.000003209813211</v>
      </c>
      <c r="F142" s="4">
        <f>2/$H$3*SUMPRODUCT((B142+C142*Sheet1!$B$2:$B$10-Sheet1!$C$2:$C$10)*Sheet1!$B$2:$B$10)+2*$H$2*C142</f>
        <v>0.0000002423930558</v>
      </c>
    </row>
    <row r="143">
      <c r="A143" s="1">
        <v>141.0</v>
      </c>
      <c r="B143" s="4">
        <f t="shared" ref="B143:C143" si="141">B142-$H$1*E142</f>
        <v>2.466538897</v>
      </c>
      <c r="C143" s="4">
        <f t="shared" si="141"/>
        <v>1.178030417</v>
      </c>
      <c r="D143" s="4">
        <f>SUMPRODUCT((B143+C143*Sheet1!$B$2:$B$10-Sheet1!$C$2:$C$10)^2)/$H$3+$H$2*C143^2</f>
        <v>2.403374018</v>
      </c>
      <c r="E143" s="4">
        <f>2/$H$3*SUMPRODUCT(B143+C143*Sheet1!$B$2:$B$10-Sheet1!$C$2:$C$10)</f>
        <v>-0.000002900951542</v>
      </c>
      <c r="F143" s="4">
        <f>2/$H$3*SUMPRODUCT((B143+C143*Sheet1!$B$2:$B$10-Sheet1!$C$2:$C$10)*Sheet1!$B$2:$B$10)+2*$H$2*C143</f>
        <v>0.0000002190689818</v>
      </c>
    </row>
    <row r="144">
      <c r="A144" s="1">
        <v>142.0</v>
      </c>
      <c r="B144" s="4">
        <f t="shared" ref="B144:C144" si="142">B143-$H$1*E143</f>
        <v>2.466539042</v>
      </c>
      <c r="C144" s="4">
        <f t="shared" si="142"/>
        <v>1.178030406</v>
      </c>
      <c r="D144" s="4">
        <f>SUMPRODUCT((B144+C144*Sheet1!$B$2:$B$10-Sheet1!$C$2:$C$10)^2)/$H$3+$H$2*C144^2</f>
        <v>2.403374018</v>
      </c>
      <c r="E144" s="4">
        <f>2/$H$3*SUMPRODUCT(B144+C144*Sheet1!$B$2:$B$10-Sheet1!$C$2:$C$10)</f>
        <v>-0.000002621809837</v>
      </c>
      <c r="F144" s="4">
        <f>2/$H$3*SUMPRODUCT((B144+C144*Sheet1!$B$2:$B$10-Sheet1!$C$2:$C$10)*Sheet1!$B$2:$B$10)+2*$H$2*C144</f>
        <v>0.0000001979892499</v>
      </c>
    </row>
    <row r="145">
      <c r="A145" s="1">
        <v>143.0</v>
      </c>
      <c r="B145" s="4">
        <f t="shared" ref="B145:C145" si="143">B144-$H$1*E144</f>
        <v>2.466539173</v>
      </c>
      <c r="C145" s="4">
        <f t="shared" si="143"/>
        <v>1.178030396</v>
      </c>
      <c r="D145" s="4">
        <f>SUMPRODUCT((B145+C145*Sheet1!$B$2:$B$10-Sheet1!$C$2:$C$10)^2)/$H$3+$H$2*C145^2</f>
        <v>2.403374018</v>
      </c>
      <c r="E145" s="4">
        <f>2/$H$3*SUMPRODUCT(B145+C145*Sheet1!$B$2:$B$10-Sheet1!$C$2:$C$10)</f>
        <v>-0.000002369528316</v>
      </c>
      <c r="F145" s="4">
        <f>2/$H$3*SUMPRODUCT((B145+C145*Sheet1!$B$2:$B$10-Sheet1!$C$2:$C$10)*Sheet1!$B$2:$B$10)+2*$H$2*C145</f>
        <v>0.0000001789378924</v>
      </c>
    </row>
    <row r="146">
      <c r="A146" s="1">
        <v>144.0</v>
      </c>
      <c r="B146" s="4">
        <f t="shared" ref="B146:C146" si="144">B145-$H$1*E145</f>
        <v>2.466539291</v>
      </c>
      <c r="C146" s="4">
        <f t="shared" si="144"/>
        <v>1.178030387</v>
      </c>
      <c r="D146" s="4">
        <f>SUMPRODUCT((B146+C146*Sheet1!$B$2:$B$10-Sheet1!$C$2:$C$10)^2)/$H$3+$H$2*C146^2</f>
        <v>2.403374018</v>
      </c>
      <c r="E146" s="4">
        <f>2/$H$3*SUMPRODUCT(B146+C146*Sheet1!$B$2:$B$10-Sheet1!$C$2:$C$10)</f>
        <v>-0.000002141522379</v>
      </c>
      <c r="F146" s="4">
        <f>2/$H$3*SUMPRODUCT((B146+C146*Sheet1!$B$2:$B$10-Sheet1!$C$2:$C$10)*Sheet1!$B$2:$B$10)+2*$H$2*C146</f>
        <v>0.0000001617197404</v>
      </c>
    </row>
    <row r="147">
      <c r="A147" s="1">
        <v>145.0</v>
      </c>
      <c r="B147" s="4">
        <f t="shared" ref="B147:C147" si="145">B146-$H$1*E146</f>
        <v>2.466539398</v>
      </c>
      <c r="C147" s="4">
        <f t="shared" si="145"/>
        <v>1.178030379</v>
      </c>
      <c r="D147" s="4">
        <f>SUMPRODUCT((B147+C147*Sheet1!$B$2:$B$10-Sheet1!$C$2:$C$10)^2)/$H$3+$H$2*C147^2</f>
        <v>2.403374018</v>
      </c>
      <c r="E147" s="4">
        <f>2/$H$3*SUMPRODUCT(B147+C147*Sheet1!$B$2:$B$10-Sheet1!$C$2:$C$10)</f>
        <v>-0.000001935456128</v>
      </c>
      <c r="F147" s="4">
        <f>2/$H$3*SUMPRODUCT((B147+C147*Sheet1!$B$2:$B$10-Sheet1!$C$2:$C$10)*Sheet1!$B$2:$B$10)+2*$H$2*C147</f>
        <v>0.0000001461583905</v>
      </c>
    </row>
    <row r="148">
      <c r="A148" s="1">
        <v>146.0</v>
      </c>
      <c r="B148" s="4">
        <f t="shared" ref="B148:C148" si="146">B147-$H$1*E147</f>
        <v>2.466539495</v>
      </c>
      <c r="C148" s="4">
        <f t="shared" si="146"/>
        <v>1.178030372</v>
      </c>
      <c r="D148" s="4">
        <f>SUMPRODUCT((B148+C148*Sheet1!$B$2:$B$10-Sheet1!$C$2:$C$10)^2)/$H$3+$H$2*C148^2</f>
        <v>2.403374018</v>
      </c>
      <c r="E148" s="4">
        <f>2/$H$3*SUMPRODUCT(B148+C148*Sheet1!$B$2:$B$10-Sheet1!$C$2:$C$10)</f>
        <v>-0.000001749218435</v>
      </c>
      <c r="F148" s="4">
        <f>2/$H$3*SUMPRODUCT((B148+C148*Sheet1!$B$2:$B$10-Sheet1!$C$2:$C$10)*Sheet1!$B$2:$B$10)+2*$H$2*C148</f>
        <v>0.0000001320944158</v>
      </c>
    </row>
    <row r="149">
      <c r="A149" s="1">
        <v>147.0</v>
      </c>
      <c r="B149" s="4">
        <f t="shared" ref="B149:C149" si="147">B148-$H$1*E148</f>
        <v>2.466539583</v>
      </c>
      <c r="C149" s="4">
        <f t="shared" si="147"/>
        <v>1.178030365</v>
      </c>
      <c r="D149" s="4">
        <f>SUMPRODUCT((B149+C149*Sheet1!$B$2:$B$10-Sheet1!$C$2:$C$10)^2)/$H$3+$H$2*C149^2</f>
        <v>2.403374018</v>
      </c>
      <c r="E149" s="4">
        <f>2/$H$3*SUMPRODUCT(B149+C149*Sheet1!$B$2:$B$10-Sheet1!$C$2:$C$10)</f>
        <v>-0.000001580901312</v>
      </c>
      <c r="F149" s="4">
        <f>2/$H$3*SUMPRODUCT((B149+C149*Sheet1!$B$2:$B$10-Sheet1!$C$2:$C$10)*Sheet1!$B$2:$B$10)+2*$H$2*C149</f>
        <v>0.0000001193837392</v>
      </c>
    </row>
    <row r="150">
      <c r="A150" s="1">
        <v>148.0</v>
      </c>
      <c r="B150" s="4">
        <f t="shared" ref="B150:C150" si="148">B149-$H$1*E149</f>
        <v>2.466539662</v>
      </c>
      <c r="C150" s="4">
        <f t="shared" si="148"/>
        <v>1.178030359</v>
      </c>
      <c r="D150" s="4">
        <f>SUMPRODUCT((B150+C150*Sheet1!$B$2:$B$10-Sheet1!$C$2:$C$10)^2)/$H$3+$H$2*C150^2</f>
        <v>2.403374018</v>
      </c>
      <c r="E150" s="4">
        <f>2/$H$3*SUMPRODUCT(B150+C150*Sheet1!$B$2:$B$10-Sheet1!$C$2:$C$10)</f>
        <v>-0.000001428780368</v>
      </c>
      <c r="F150" s="4">
        <f>2/$H$3*SUMPRODUCT((B150+C150*Sheet1!$B$2:$B$10-Sheet1!$C$2:$C$10)*Sheet1!$B$2:$B$10)+2*$H$2*C150</f>
        <v>0.0000001078961365</v>
      </c>
    </row>
    <row r="151">
      <c r="A151" s="1">
        <v>149.0</v>
      </c>
      <c r="B151" s="4">
        <f t="shared" ref="B151:C151" si="149">B150-$H$1*E150</f>
        <v>2.466539733</v>
      </c>
      <c r="C151" s="4">
        <f t="shared" si="149"/>
        <v>1.178030354</v>
      </c>
      <c r="D151" s="4">
        <f>SUMPRODUCT((B151+C151*Sheet1!$B$2:$B$10-Sheet1!$C$2:$C$10)^2)/$H$3+$H$2*C151^2</f>
        <v>2.403374018</v>
      </c>
      <c r="E151" s="4">
        <f>2/$H$3*SUMPRODUCT(B151+C151*Sheet1!$B$2:$B$10-Sheet1!$C$2:$C$10)</f>
        <v>-0.000001291297138</v>
      </c>
      <c r="F151" s="4">
        <f>2/$H$3*SUMPRODUCT((B151+C151*Sheet1!$B$2:$B$10-Sheet1!$C$2:$C$10)*Sheet1!$B$2:$B$10)+2*$H$2*C151</f>
        <v>0.00000009751391793</v>
      </c>
    </row>
    <row r="152">
      <c r="A152" s="1">
        <v>150.0</v>
      </c>
      <c r="B152" s="4">
        <f t="shared" ref="B152:C152" si="150">B151-$H$1*E151</f>
        <v>2.466539798</v>
      </c>
      <c r="C152" s="4">
        <f t="shared" si="150"/>
        <v>1.178030349</v>
      </c>
      <c r="D152" s="4">
        <f>SUMPRODUCT((B152+C152*Sheet1!$B$2:$B$10-Sheet1!$C$2:$C$10)^2)/$H$3+$H$2*C152^2</f>
        <v>2.403374018</v>
      </c>
      <c r="E152" s="4">
        <f>2/$H$3*SUMPRODUCT(B152+C152*Sheet1!$B$2:$B$10-Sheet1!$C$2:$C$10)</f>
        <v>-0.00000116704312</v>
      </c>
      <c r="F152" s="4">
        <f>2/$H$3*SUMPRODUCT((B152+C152*Sheet1!$B$2:$B$10-Sheet1!$C$2:$C$10)*Sheet1!$B$2:$B$10)+2*$H$2*C152</f>
        <v>0.00000008813072109</v>
      </c>
    </row>
    <row r="153">
      <c r="A153" s="1">
        <v>151.0</v>
      </c>
      <c r="B153" s="4">
        <f t="shared" ref="B153:C153" si="151">B152-$H$1*E152</f>
        <v>2.466539856</v>
      </c>
      <c r="C153" s="4">
        <f t="shared" si="151"/>
        <v>1.178030344</v>
      </c>
      <c r="D153" s="4">
        <f>SUMPRODUCT((B153+C153*Sheet1!$B$2:$B$10-Sheet1!$C$2:$C$10)^2)/$H$3+$H$2*C153^2</f>
        <v>2.403374018</v>
      </c>
      <c r="E153" s="4">
        <f>2/$H$3*SUMPRODUCT(B153+C153*Sheet1!$B$2:$B$10-Sheet1!$C$2:$C$10)</f>
        <v>-0.000001054745344</v>
      </c>
      <c r="F153" s="4">
        <f>2/$H$3*SUMPRODUCT((B153+C153*Sheet1!$B$2:$B$10-Sheet1!$C$2:$C$10)*Sheet1!$B$2:$B$10)+2*$H$2*C153</f>
        <v>0.00000007965041446</v>
      </c>
    </row>
    <row r="154">
      <c r="A154" s="1">
        <v>152.0</v>
      </c>
      <c r="B154" s="4">
        <f t="shared" ref="B154:C154" si="152">B153-$H$1*E153</f>
        <v>2.466539909</v>
      </c>
      <c r="C154" s="4">
        <f t="shared" si="152"/>
        <v>1.17803034</v>
      </c>
      <c r="D154" s="4">
        <f>SUMPRODUCT((B154+C154*Sheet1!$B$2:$B$10-Sheet1!$C$2:$C$10)^2)/$H$3+$H$2*C154^2</f>
        <v>2.403374018</v>
      </c>
      <c r="E154" s="4">
        <f>2/$H$3*SUMPRODUCT(B154+C154*Sheet1!$B$2:$B$10-Sheet1!$C$2:$C$10)</f>
        <v>-0.0000009532533311</v>
      </c>
      <c r="F154" s="4">
        <f>2/$H$3*SUMPRODUCT((B154+C154*Sheet1!$B$2:$B$10-Sheet1!$C$2:$C$10)*Sheet1!$B$2:$B$10)+2*$H$2*C154</f>
        <v>0.00000007198611638</v>
      </c>
    </row>
    <row r="155">
      <c r="A155" s="1">
        <v>153.0</v>
      </c>
      <c r="B155" s="4">
        <f t="shared" ref="B155:C155" si="153">B154-$H$1*E154</f>
        <v>2.466539956</v>
      </c>
      <c r="C155" s="4">
        <f t="shared" si="153"/>
        <v>1.178030337</v>
      </c>
      <c r="D155" s="4">
        <f>SUMPRODUCT((B155+C155*Sheet1!$B$2:$B$10-Sheet1!$C$2:$C$10)^2)/$H$3+$H$2*C155^2</f>
        <v>2.403374018</v>
      </c>
      <c r="E155" s="4">
        <f>2/$H$3*SUMPRODUCT(B155+C155*Sheet1!$B$2:$B$10-Sheet1!$C$2:$C$10)</f>
        <v>-0.0000008615273035</v>
      </c>
      <c r="F155" s="4">
        <f>2/$H$3*SUMPRODUCT((B155+C155*Sheet1!$B$2:$B$10-Sheet1!$C$2:$C$10)*Sheet1!$B$2:$B$10)+2*$H$2*C155</f>
        <v>0.00000006505931255</v>
      </c>
    </row>
    <row r="156">
      <c r="A156" s="1">
        <v>154.0</v>
      </c>
      <c r="B156" s="4">
        <f t="shared" ref="B156:C156" si="154">B155-$H$1*E155</f>
        <v>2.466539999</v>
      </c>
      <c r="C156" s="4">
        <f t="shared" si="154"/>
        <v>1.178030334</v>
      </c>
      <c r="D156" s="4">
        <f>SUMPRODUCT((B156+C156*Sheet1!$B$2:$B$10-Sheet1!$C$2:$C$10)^2)/$H$3+$H$2*C156^2</f>
        <v>2.403374018</v>
      </c>
      <c r="E156" s="4">
        <f>2/$H$3*SUMPRODUCT(B156+C156*Sheet1!$B$2:$B$10-Sheet1!$C$2:$C$10)</f>
        <v>-0.0000007786275389</v>
      </c>
      <c r="F156" s="4">
        <f>2/$H$3*SUMPRODUCT((B156+C156*Sheet1!$B$2:$B$10-Sheet1!$C$2:$C$10)*Sheet1!$B$2:$B$10)+2*$H$2*C156</f>
        <v>0.00000005879903142</v>
      </c>
    </row>
    <row r="157">
      <c r="A157" s="1">
        <v>155.0</v>
      </c>
      <c r="B157" s="4">
        <f t="shared" ref="B157:C157" si="155">B156-$H$1*E156</f>
        <v>2.466540038</v>
      </c>
      <c r="C157" s="4">
        <f t="shared" si="155"/>
        <v>1.178030331</v>
      </c>
      <c r="D157" s="4">
        <f>SUMPRODUCT((B157+C157*Sheet1!$B$2:$B$10-Sheet1!$C$2:$C$10)^2)/$H$3+$H$2*C157^2</f>
        <v>2.403374018</v>
      </c>
      <c r="E157" s="4">
        <f>2/$H$3*SUMPRODUCT(B157+C157*Sheet1!$B$2:$B$10-Sheet1!$C$2:$C$10)</f>
        <v>-0.000000703704737</v>
      </c>
      <c r="F157" s="4">
        <f>2/$H$3*SUMPRODUCT((B157+C157*Sheet1!$B$2:$B$10-Sheet1!$C$2:$C$10)*Sheet1!$B$2:$B$10)+2*$H$2*C157</f>
        <v>0.00000005314114181</v>
      </c>
    </row>
    <row r="158">
      <c r="A158" s="1">
        <v>156.0</v>
      </c>
      <c r="B158" s="4">
        <f t="shared" ref="B158:C158" si="156">B157-$H$1*E157</f>
        <v>2.466540074</v>
      </c>
      <c r="C158" s="4">
        <f t="shared" si="156"/>
        <v>1.178030328</v>
      </c>
      <c r="D158" s="4">
        <f>SUMPRODUCT((B158+C158*Sheet1!$B$2:$B$10-Sheet1!$C$2:$C$10)^2)/$H$3+$H$2*C158^2</f>
        <v>2.403374018</v>
      </c>
      <c r="E158" s="4">
        <f>2/$H$3*SUMPRODUCT(B158+C158*Sheet1!$B$2:$B$10-Sheet1!$C$2:$C$10)</f>
        <v>-0.0000006359913202</v>
      </c>
      <c r="F158" s="4">
        <f>2/$H$3*SUMPRODUCT((B158+C158*Sheet1!$B$2:$B$10-Sheet1!$C$2:$C$10)*Sheet1!$B$2:$B$10)+2*$H$2*C158</f>
        <v>0.0000000480276806</v>
      </c>
    </row>
    <row r="159">
      <c r="A159" s="1">
        <v>157.0</v>
      </c>
      <c r="B159" s="4">
        <f t="shared" ref="B159:C159" si="157">B158-$H$1*E158</f>
        <v>2.466540105</v>
      </c>
      <c r="C159" s="4">
        <f t="shared" si="157"/>
        <v>1.178030326</v>
      </c>
      <c r="D159" s="4">
        <f>SUMPRODUCT((B159+C159*Sheet1!$B$2:$B$10-Sheet1!$C$2:$C$10)^2)/$H$3+$H$2*C159^2</f>
        <v>2.403374018</v>
      </c>
      <c r="E159" s="4">
        <f>2/$H$3*SUMPRODUCT(B159+C159*Sheet1!$B$2:$B$10-Sheet1!$C$2:$C$10)</f>
        <v>-0.0000005747935717</v>
      </c>
      <c r="F159" s="4">
        <f>2/$H$3*SUMPRODUCT((B159+C159*Sheet1!$B$2:$B$10-Sheet1!$C$2:$C$10)*Sheet1!$B$2:$B$10)+2*$H$2*C159</f>
        <v>0.00000004340625735</v>
      </c>
    </row>
    <row r="160">
      <c r="A160" s="1">
        <v>158.0</v>
      </c>
      <c r="B160" s="4">
        <f t="shared" ref="B160:C160" si="158">B159-$H$1*E159</f>
        <v>2.466540134</v>
      </c>
      <c r="C160" s="4">
        <f t="shared" si="158"/>
        <v>1.178030323</v>
      </c>
      <c r="D160" s="4">
        <f>SUMPRODUCT((B160+C160*Sheet1!$B$2:$B$10-Sheet1!$C$2:$C$10)^2)/$H$3+$H$2*C160^2</f>
        <v>2.403374018</v>
      </c>
      <c r="E160" s="4">
        <f>2/$H$3*SUMPRODUCT(B160+C160*Sheet1!$B$2:$B$10-Sheet1!$C$2:$C$10)</f>
        <v>-0.0000005194845272</v>
      </c>
      <c r="F160" s="4">
        <f>2/$H$3*SUMPRODUCT((B160+C160*Sheet1!$B$2:$B$10-Sheet1!$C$2:$C$10)*Sheet1!$B$2:$B$10)+2*$H$2*C160</f>
        <v>0.00000003922952472</v>
      </c>
    </row>
    <row r="161">
      <c r="A161" s="1">
        <v>159.0</v>
      </c>
      <c r="B161" s="4">
        <f t="shared" ref="B161:C161" si="159">B160-$H$1*E160</f>
        <v>2.46654016</v>
      </c>
      <c r="C161" s="4">
        <f t="shared" si="159"/>
        <v>1.178030321</v>
      </c>
      <c r="D161" s="4">
        <f>SUMPRODUCT((B161+C161*Sheet1!$B$2:$B$10-Sheet1!$C$2:$C$10)^2)/$H$3+$H$2*C161^2</f>
        <v>2.403374018</v>
      </c>
      <c r="E161" s="4">
        <f>2/$H$3*SUMPRODUCT(B161+C161*Sheet1!$B$2:$B$10-Sheet1!$C$2:$C$10)</f>
        <v>-0.0000004694975511</v>
      </c>
      <c r="F161" s="4">
        <f>2/$H$3*SUMPRODUCT((B161+C161*Sheet1!$B$2:$B$10-Sheet1!$C$2:$C$10)*Sheet1!$B$2:$B$10)+2*$H$2*C161</f>
        <v>0.00000003545469321</v>
      </c>
    </row>
    <row r="162">
      <c r="A162" s="1">
        <v>160.0</v>
      </c>
      <c r="B162" s="4">
        <f t="shared" ref="B162:C162" si="160">B161-$H$1*E161</f>
        <v>2.466540184</v>
      </c>
      <c r="C162" s="4">
        <f t="shared" si="160"/>
        <v>1.17803032</v>
      </c>
      <c r="D162" s="4">
        <f>SUMPRODUCT((B162+C162*Sheet1!$B$2:$B$10-Sheet1!$C$2:$C$10)^2)/$H$3+$H$2*C162^2</f>
        <v>2.403374018</v>
      </c>
      <c r="E162" s="4">
        <f>2/$H$3*SUMPRODUCT(B162+C162*Sheet1!$B$2:$B$10-Sheet1!$C$2:$C$10)</f>
        <v>-0.0000004243205304</v>
      </c>
      <c r="F162" s="4">
        <f>2/$H$3*SUMPRODUCT((B162+C162*Sheet1!$B$2:$B$10-Sheet1!$C$2:$C$10)*Sheet1!$B$2:$B$10)+2*$H$2*C162</f>
        <v>0.00000003204309573</v>
      </c>
    </row>
    <row r="163">
      <c r="A163" s="1">
        <v>161.0</v>
      </c>
      <c r="B163" s="4">
        <f t="shared" ref="B163:C163" si="161">B162-$H$1*E162</f>
        <v>2.466540205</v>
      </c>
      <c r="C163" s="4">
        <f t="shared" si="161"/>
        <v>1.178030318</v>
      </c>
      <c r="D163" s="4">
        <f>SUMPRODUCT((B163+C163*Sheet1!$B$2:$B$10-Sheet1!$C$2:$C$10)^2)/$H$3+$H$2*C163^2</f>
        <v>2.403374018</v>
      </c>
      <c r="E163" s="4">
        <f>2/$H$3*SUMPRODUCT(B163+C163*Sheet1!$B$2:$B$10-Sheet1!$C$2:$C$10)</f>
        <v>-0.0000003834906319</v>
      </c>
      <c r="F163" s="4">
        <f>2/$H$3*SUMPRODUCT((B163+C163*Sheet1!$B$2:$B$10-Sheet1!$C$2:$C$10)*Sheet1!$B$2:$B$10)+2*$H$2*C163</f>
        <v>0.00000002895977379</v>
      </c>
    </row>
    <row r="164">
      <c r="A164" s="1">
        <v>162.0</v>
      </c>
      <c r="B164" s="4">
        <f t="shared" ref="B164:C164" si="162">B163-$H$1*E163</f>
        <v>2.466540224</v>
      </c>
      <c r="C164" s="4">
        <f t="shared" si="162"/>
        <v>1.178030317</v>
      </c>
      <c r="D164" s="4">
        <f>SUMPRODUCT((B164+C164*Sheet1!$B$2:$B$10-Sheet1!$C$2:$C$10)^2)/$H$3+$H$2*C164^2</f>
        <v>2.403374018</v>
      </c>
      <c r="E164" s="4">
        <f>2/$H$3*SUMPRODUCT(B164+C164*Sheet1!$B$2:$B$10-Sheet1!$C$2:$C$10)</f>
        <v>-0.000000346589557</v>
      </c>
      <c r="F164" s="4">
        <f>2/$H$3*SUMPRODUCT((B164+C164*Sheet1!$B$2:$B$10-Sheet1!$C$2:$C$10)*Sheet1!$B$2:$B$10)+2*$H$2*C164</f>
        <v>0.00000002617314503</v>
      </c>
    </row>
    <row r="165">
      <c r="A165" s="1">
        <v>163.0</v>
      </c>
      <c r="B165" s="4">
        <f t="shared" ref="B165:C165" si="163">B164-$H$1*E164</f>
        <v>2.466540241</v>
      </c>
      <c r="C165" s="4">
        <f t="shared" si="163"/>
        <v>1.178030315</v>
      </c>
      <c r="D165" s="4">
        <f>SUMPRODUCT((B165+C165*Sheet1!$B$2:$B$10-Sheet1!$C$2:$C$10)^2)/$H$3+$H$2*C165^2</f>
        <v>2.403374018</v>
      </c>
      <c r="E165" s="4">
        <f>2/$H$3*SUMPRODUCT(B165+C165*Sheet1!$B$2:$B$10-Sheet1!$C$2:$C$10)</f>
        <v>-0.0000003132392584</v>
      </c>
      <c r="F165" s="4">
        <f>2/$H$3*SUMPRODUCT((B165+C165*Sheet1!$B$2:$B$10-Sheet1!$C$2:$C$10)*Sheet1!$B$2:$B$10)+2*$H$2*C165</f>
        <v>0.00000002365465532</v>
      </c>
    </row>
    <row r="166">
      <c r="A166" s="1">
        <v>164.0</v>
      </c>
      <c r="B166" s="4">
        <f t="shared" ref="B166:C166" si="164">B165-$H$1*E165</f>
        <v>2.466540257</v>
      </c>
      <c r="C166" s="4">
        <f t="shared" si="164"/>
        <v>1.178030314</v>
      </c>
      <c r="D166" s="4">
        <f>SUMPRODUCT((B166+C166*Sheet1!$B$2:$B$10-Sheet1!$C$2:$C$10)^2)/$H$3+$H$2*C166^2</f>
        <v>2.403374018</v>
      </c>
      <c r="E166" s="4">
        <f>2/$H$3*SUMPRODUCT(B166+C166*Sheet1!$B$2:$B$10-Sheet1!$C$2:$C$10)</f>
        <v>-0.0000002830980655</v>
      </c>
      <c r="F166" s="4">
        <f>2/$H$3*SUMPRODUCT((B166+C166*Sheet1!$B$2:$B$10-Sheet1!$C$2:$C$10)*Sheet1!$B$2:$B$10)+2*$H$2*C166</f>
        <v>0.00000002137850415</v>
      </c>
    </row>
    <row r="167">
      <c r="A167" s="1">
        <v>165.0</v>
      </c>
      <c r="B167" s="4">
        <f t="shared" ref="B167:C167" si="165">B166-$H$1*E166</f>
        <v>2.466540271</v>
      </c>
      <c r="C167" s="4">
        <f t="shared" si="165"/>
        <v>1.178030313</v>
      </c>
      <c r="D167" s="4">
        <f>SUMPRODUCT((B167+C167*Sheet1!$B$2:$B$10-Sheet1!$C$2:$C$10)^2)/$H$3+$H$2*C167^2</f>
        <v>2.403374018</v>
      </c>
      <c r="E167" s="4">
        <f>2/$H$3*SUMPRODUCT(B167+C167*Sheet1!$B$2:$B$10-Sheet1!$C$2:$C$10)</f>
        <v>-0.0000002558571837</v>
      </c>
      <c r="F167" s="4">
        <f>2/$H$3*SUMPRODUCT((B167+C167*Sheet1!$B$2:$B$10-Sheet1!$C$2:$C$10)*Sheet1!$B$2:$B$10)+2*$H$2*C167</f>
        <v>0.0000000193213761</v>
      </c>
    </row>
    <row r="168">
      <c r="A168" s="1">
        <v>166.0</v>
      </c>
      <c r="B168" s="4">
        <f t="shared" ref="B168:C168" si="166">B167-$H$1*E167</f>
        <v>2.466540284</v>
      </c>
      <c r="C168" s="4">
        <f t="shared" si="166"/>
        <v>1.178030312</v>
      </c>
      <c r="D168" s="4">
        <f>SUMPRODUCT((B168+C168*Sheet1!$B$2:$B$10-Sheet1!$C$2:$C$10)^2)/$H$3+$H$2*C168^2</f>
        <v>2.403374018</v>
      </c>
      <c r="E168" s="4">
        <f>2/$H$3*SUMPRODUCT(B168+C168*Sheet1!$B$2:$B$10-Sheet1!$C$2:$C$10)</f>
        <v>-0.0000002312375342</v>
      </c>
      <c r="F168" s="4">
        <f>2/$H$3*SUMPRODUCT((B168+C168*Sheet1!$B$2:$B$10-Sheet1!$C$2:$C$10)*Sheet1!$B$2:$B$10)+2*$H$2*C168</f>
        <v>0.00000001746219174</v>
      </c>
    </row>
    <row r="169">
      <c r="A169" s="1">
        <v>167.0</v>
      </c>
      <c r="B169" s="4">
        <f t="shared" ref="B169:C169" si="167">B168-$H$1*E168</f>
        <v>2.466540295</v>
      </c>
      <c r="C169" s="4">
        <f t="shared" si="167"/>
        <v>1.178030311</v>
      </c>
      <c r="D169" s="4">
        <f>SUMPRODUCT((B169+C169*Sheet1!$B$2:$B$10-Sheet1!$C$2:$C$10)^2)/$H$3+$H$2*C169^2</f>
        <v>2.403374018</v>
      </c>
      <c r="E169" s="4">
        <f>2/$H$3*SUMPRODUCT(B169+C169*Sheet1!$B$2:$B$10-Sheet1!$C$2:$C$10)</f>
        <v>-0.0000002089868902</v>
      </c>
      <c r="F169" s="4">
        <f>2/$H$3*SUMPRODUCT((B169+C169*Sheet1!$B$2:$B$10-Sheet1!$C$2:$C$10)*Sheet1!$B$2:$B$10)+2*$H$2*C169</f>
        <v>0.0000000157819066</v>
      </c>
    </row>
    <row r="170">
      <c r="A170" s="1">
        <v>168.0</v>
      </c>
      <c r="B170" s="4">
        <f t="shared" ref="B170:C170" si="168">B169-$H$1*E169</f>
        <v>2.466540306</v>
      </c>
      <c r="C170" s="4">
        <f t="shared" si="168"/>
        <v>1.17803031</v>
      </c>
      <c r="D170" s="4">
        <f>SUMPRODUCT((B170+C170*Sheet1!$B$2:$B$10-Sheet1!$C$2:$C$10)^2)/$H$3+$H$2*C170^2</f>
        <v>2.403374018</v>
      </c>
      <c r="E170" s="4">
        <f>2/$H$3*SUMPRODUCT(B170+C170*Sheet1!$B$2:$B$10-Sheet1!$C$2:$C$10)</f>
        <v>-0.0000001888772964</v>
      </c>
      <c r="F170" s="4">
        <f>2/$H$3*SUMPRODUCT((B170+C170*Sheet1!$B$2:$B$10-Sheet1!$C$2:$C$10)*Sheet1!$B$2:$B$10)+2*$H$2*C170</f>
        <v>0.00000001426330659</v>
      </c>
    </row>
    <row r="171">
      <c r="A171" s="1">
        <v>169.0</v>
      </c>
      <c r="B171" s="4">
        <f t="shared" ref="B171:C171" si="169">B170-$H$1*E170</f>
        <v>2.466540315</v>
      </c>
      <c r="C171" s="4">
        <f t="shared" si="169"/>
        <v>1.17803031</v>
      </c>
      <c r="D171" s="4">
        <f>SUMPRODUCT((B171+C171*Sheet1!$B$2:$B$10-Sheet1!$C$2:$C$10)^2)/$H$3+$H$2*C171^2</f>
        <v>2.403374018</v>
      </c>
      <c r="E171" s="4">
        <f>2/$H$3*SUMPRODUCT(B171+C171*Sheet1!$B$2:$B$10-Sheet1!$C$2:$C$10)</f>
        <v>-0.0000001707027321</v>
      </c>
      <c r="F171" s="4">
        <f>2/$H$3*SUMPRODUCT((B171+C171*Sheet1!$B$2:$B$10-Sheet1!$C$2:$C$10)*Sheet1!$B$2:$B$10)+2*$H$2*C171</f>
        <v>0.00000001289083127</v>
      </c>
    </row>
    <row r="172">
      <c r="A172" s="1">
        <v>170.0</v>
      </c>
      <c r="B172" s="4">
        <f t="shared" ref="B172:C172" si="170">B171-$H$1*E171</f>
        <v>2.466540324</v>
      </c>
      <c r="C172" s="4">
        <f t="shared" si="170"/>
        <v>1.178030309</v>
      </c>
      <c r="D172" s="4">
        <f>SUMPRODUCT((B172+C172*Sheet1!$B$2:$B$10-Sheet1!$C$2:$C$10)^2)/$H$3+$H$2*C172^2</f>
        <v>2.403374018</v>
      </c>
      <c r="E172" s="4">
        <f>2/$H$3*SUMPRODUCT(B172+C172*Sheet1!$B$2:$B$10-Sheet1!$C$2:$C$10)</f>
        <v>-0.0000001542770005</v>
      </c>
      <c r="F172" s="4">
        <f>2/$H$3*SUMPRODUCT((B172+C172*Sheet1!$B$2:$B$10-Sheet1!$C$2:$C$10)*Sheet1!$B$2:$B$10)+2*$H$2*C172</f>
        <v>0.00000001165042107</v>
      </c>
    </row>
    <row r="173">
      <c r="A173" s="1">
        <v>171.0</v>
      </c>
      <c r="B173" s="4">
        <f t="shared" ref="B173:C173" si="171">B172-$H$1*E172</f>
        <v>2.466540332</v>
      </c>
      <c r="C173" s="4">
        <f t="shared" si="171"/>
        <v>1.178030309</v>
      </c>
      <c r="D173" s="4">
        <f>SUMPRODUCT((B173+C173*Sheet1!$B$2:$B$10-Sheet1!$C$2:$C$10)^2)/$H$3+$H$2*C173^2</f>
        <v>2.403374018</v>
      </c>
      <c r="E173" s="4">
        <f>2/$H$3*SUMPRODUCT(B173+C173*Sheet1!$B$2:$B$10-Sheet1!$C$2:$C$10)</f>
        <v>-0.0000001394318214</v>
      </c>
      <c r="F173" s="4">
        <f>2/$H$3*SUMPRODUCT((B173+C173*Sheet1!$B$2:$B$10-Sheet1!$C$2:$C$10)*Sheet1!$B$2:$B$10)+2*$H$2*C173</f>
        <v>0.0000000105293676</v>
      </c>
    </row>
    <row r="174">
      <c r="A174" s="1">
        <v>172.0</v>
      </c>
      <c r="B174" s="4">
        <f t="shared" ref="B174:C174" si="172">B173-$H$1*E173</f>
        <v>2.466540339</v>
      </c>
      <c r="C174" s="4">
        <f t="shared" si="172"/>
        <v>1.178030308</v>
      </c>
      <c r="D174" s="4">
        <f>SUMPRODUCT((B174+C174*Sheet1!$B$2:$B$10-Sheet1!$C$2:$C$10)^2)/$H$3+$H$2*C174^2</f>
        <v>2.403374018</v>
      </c>
      <c r="E174" s="4">
        <f>2/$H$3*SUMPRODUCT(B174+C174*Sheet1!$B$2:$B$10-Sheet1!$C$2:$C$10)</f>
        <v>-0.0000001260151083</v>
      </c>
      <c r="F174" s="4">
        <f>2/$H$3*SUMPRODUCT((B174+C174*Sheet1!$B$2:$B$10-Sheet1!$C$2:$C$10)*Sheet1!$B$2:$B$10)+2*$H$2*C174</f>
        <v>0.000000009516186802</v>
      </c>
    </row>
    <row r="175">
      <c r="A175" s="1">
        <v>173.0</v>
      </c>
      <c r="B175" s="4">
        <f t="shared" ref="B175:C175" si="173">B174-$H$1*E174</f>
        <v>2.466540345</v>
      </c>
      <c r="C175" s="4">
        <f t="shared" si="173"/>
        <v>1.178030307</v>
      </c>
      <c r="D175" s="4">
        <f>SUMPRODUCT((B175+C175*Sheet1!$B$2:$B$10-Sheet1!$C$2:$C$10)^2)/$H$3+$H$2*C175^2</f>
        <v>2.403374018</v>
      </c>
      <c r="E175" s="4">
        <f>2/$H$3*SUMPRODUCT(B175+C175*Sheet1!$B$2:$B$10-Sheet1!$C$2:$C$10)</f>
        <v>-0.0000001138894067</v>
      </c>
      <c r="F175" s="4">
        <f>2/$H$3*SUMPRODUCT((B175+C175*Sheet1!$B$2:$B$10-Sheet1!$C$2:$C$10)*Sheet1!$B$2:$B$10)+2*$H$2*C175</f>
        <v>0.00000000860049967</v>
      </c>
    </row>
    <row r="176">
      <c r="A176" s="1">
        <v>174.0</v>
      </c>
      <c r="B176" s="4">
        <f t="shared" ref="B176:C176" si="174">B175-$H$1*E175</f>
        <v>2.466540351</v>
      </c>
      <c r="C176" s="4">
        <f t="shared" si="174"/>
        <v>1.178030307</v>
      </c>
      <c r="D176" s="4">
        <f>SUMPRODUCT((B176+C176*Sheet1!$B$2:$B$10-Sheet1!$C$2:$C$10)^2)/$H$3+$H$2*C176^2</f>
        <v>2.403374018</v>
      </c>
      <c r="E176" s="4">
        <f>2/$H$3*SUMPRODUCT(B176+C176*Sheet1!$B$2:$B$10-Sheet1!$C$2:$C$10)</f>
        <v>-0.0000001029304912</v>
      </c>
      <c r="F176" s="4">
        <f>2/$H$3*SUMPRODUCT((B176+C176*Sheet1!$B$2:$B$10-Sheet1!$C$2:$C$10)*Sheet1!$B$2:$B$10)+2*$H$2*C176</f>
        <v>0.000000007772925809</v>
      </c>
    </row>
    <row r="177">
      <c r="A177" s="1">
        <v>175.0</v>
      </c>
      <c r="B177" s="4">
        <f t="shared" ref="B177:C177" si="175">B176-$H$1*E176</f>
        <v>2.466540356</v>
      </c>
      <c r="C177" s="4">
        <f t="shared" si="175"/>
        <v>1.178030307</v>
      </c>
      <c r="D177" s="4">
        <f>SUMPRODUCT((B177+C177*Sheet1!$B$2:$B$10-Sheet1!$C$2:$C$10)^2)/$H$3+$H$2*C177^2</f>
        <v>2.403374018</v>
      </c>
      <c r="E177" s="4">
        <f>2/$H$3*SUMPRODUCT(B177+C177*Sheet1!$B$2:$B$10-Sheet1!$C$2:$C$10)</f>
        <v>-0.00000009302608812</v>
      </c>
      <c r="F177" s="4">
        <f>2/$H$3*SUMPRODUCT((B177+C177*Sheet1!$B$2:$B$10-Sheet1!$C$2:$C$10)*Sheet1!$B$2:$B$10)+2*$H$2*C177</f>
        <v>0.00000000702498341</v>
      </c>
    </row>
    <row r="178">
      <c r="A178" s="1">
        <v>176.0</v>
      </c>
      <c r="B178" s="4">
        <f t="shared" ref="B178:C178" si="176">B177-$H$1*E177</f>
        <v>2.46654036</v>
      </c>
      <c r="C178" s="4">
        <f t="shared" si="176"/>
        <v>1.178030306</v>
      </c>
      <c r="D178" s="4">
        <f>SUMPRODUCT((B178+C178*Sheet1!$B$2:$B$10-Sheet1!$C$2:$C$10)^2)/$H$3+$H$2*C178^2</f>
        <v>2.403374018</v>
      </c>
      <c r="E178" s="4">
        <f>2/$H$3*SUMPRODUCT(B178+C178*Sheet1!$B$2:$B$10-Sheet1!$C$2:$C$10)</f>
        <v>-0.00000008407472906</v>
      </c>
      <c r="F178" s="4">
        <f>2/$H$3*SUMPRODUCT((B178+C178*Sheet1!$B$2:$B$10-Sheet1!$C$2:$C$10)*Sheet1!$B$2:$B$10)+2*$H$2*C178</f>
        <v>0.000000006349006506</v>
      </c>
    </row>
    <row r="179">
      <c r="A179" s="1">
        <v>177.0</v>
      </c>
      <c r="B179" s="4">
        <f t="shared" ref="B179:C179" si="177">B178-$H$1*E178</f>
        <v>2.466540365</v>
      </c>
      <c r="C179" s="4">
        <f t="shared" si="177"/>
        <v>1.178030306</v>
      </c>
      <c r="D179" s="4">
        <f>SUMPRODUCT((B179+C179*Sheet1!$B$2:$B$10-Sheet1!$C$2:$C$10)^2)/$H$3+$H$2*C179^2</f>
        <v>2.403374018</v>
      </c>
      <c r="E179" s="4">
        <f>2/$H$3*SUMPRODUCT(B179+C179*Sheet1!$B$2:$B$10-Sheet1!$C$2:$C$10)</f>
        <v>-0.00000007598470663</v>
      </c>
      <c r="F179" s="4">
        <f>2/$H$3*SUMPRODUCT((B179+C179*Sheet1!$B$2:$B$10-Sheet1!$C$2:$C$10)*Sheet1!$B$2:$B$10)+2*$H$2*C179</f>
        <v>0.000000005738079641</v>
      </c>
    </row>
    <row r="180">
      <c r="A180" s="1">
        <v>178.0</v>
      </c>
      <c r="B180" s="4">
        <f t="shared" ref="B180:C180" si="178">B179-$H$1*E179</f>
        <v>2.466540368</v>
      </c>
      <c r="C180" s="4">
        <f t="shared" si="178"/>
        <v>1.178030306</v>
      </c>
      <c r="D180" s="4">
        <f>SUMPRODUCT((B180+C180*Sheet1!$B$2:$B$10-Sheet1!$C$2:$C$10)^2)/$H$3+$H$2*C180^2</f>
        <v>2.403374018</v>
      </c>
      <c r="E180" s="4">
        <f>2/$H$3*SUMPRODUCT(B180+C180*Sheet1!$B$2:$B$10-Sheet1!$C$2:$C$10)</f>
        <v>-0.00000006867314021</v>
      </c>
      <c r="F180" s="4">
        <f>2/$H$3*SUMPRODUCT((B180+C180*Sheet1!$B$2:$B$10-Sheet1!$C$2:$C$10)*Sheet1!$B$2:$B$10)+2*$H$2*C180</f>
        <v>0.000000005185937161</v>
      </c>
    </row>
    <row r="181">
      <c r="A181" s="1">
        <v>179.0</v>
      </c>
      <c r="B181" s="4">
        <f t="shared" ref="B181:C181" si="179">B180-$H$1*E180</f>
        <v>2.466540372</v>
      </c>
      <c r="C181" s="4">
        <f t="shared" si="179"/>
        <v>1.178030305</v>
      </c>
      <c r="D181" s="4">
        <f>SUMPRODUCT((B181+C181*Sheet1!$B$2:$B$10-Sheet1!$C$2:$C$10)^2)/$H$3+$H$2*C181^2</f>
        <v>2.403374018</v>
      </c>
      <c r="E181" s="4">
        <f>2/$H$3*SUMPRODUCT(B181+C181*Sheet1!$B$2:$B$10-Sheet1!$C$2:$C$10)</f>
        <v>-0.00000006206512321</v>
      </c>
      <c r="F181" s="4">
        <f>2/$H$3*SUMPRODUCT((B181+C181*Sheet1!$B$2:$B$10-Sheet1!$C$2:$C$10)*Sheet1!$B$2:$B$10)+2*$H$2*C181</f>
        <v>0.000000004686926008</v>
      </c>
    </row>
    <row r="182">
      <c r="A182" s="1">
        <v>180.0</v>
      </c>
      <c r="B182" s="4">
        <f t="shared" ref="B182:C182" si="180">B181-$H$1*E181</f>
        <v>2.466540375</v>
      </c>
      <c r="C182" s="4">
        <f t="shared" si="180"/>
        <v>1.178030305</v>
      </c>
      <c r="D182" s="4">
        <f>SUMPRODUCT((B182+C182*Sheet1!$B$2:$B$10-Sheet1!$C$2:$C$10)^2)/$H$3+$H$2*C182^2</f>
        <v>2.403374018</v>
      </c>
      <c r="E182" s="4">
        <f>2/$H$3*SUMPRODUCT(B182+C182*Sheet1!$B$2:$B$10-Sheet1!$C$2:$C$10)</f>
        <v>-0.00000005609295695</v>
      </c>
      <c r="F182" s="4">
        <f>2/$H$3*SUMPRODUCT((B182+C182*Sheet1!$B$2:$B$10-Sheet1!$C$2:$C$10)*Sheet1!$B$2:$B$10)+2*$H$2*C182</f>
        <v>0.000000004235929336</v>
      </c>
    </row>
    <row r="183">
      <c r="A183" s="1">
        <v>181.0</v>
      </c>
      <c r="B183" s="4">
        <f t="shared" ref="B183:C183" si="181">B182-$H$1*E182</f>
        <v>2.466540378</v>
      </c>
      <c r="C183" s="4">
        <f t="shared" si="181"/>
        <v>1.178030305</v>
      </c>
      <c r="D183" s="4">
        <f>SUMPRODUCT((B183+C183*Sheet1!$B$2:$B$10-Sheet1!$C$2:$C$10)^2)/$H$3+$H$2*C183^2</f>
        <v>2.403374018</v>
      </c>
      <c r="E183" s="4">
        <f>2/$H$3*SUMPRODUCT(B183+C183*Sheet1!$B$2:$B$10-Sheet1!$C$2:$C$10)</f>
        <v>-0.0000000506954581</v>
      </c>
      <c r="F183" s="4">
        <f>2/$H$3*SUMPRODUCT((B183+C183*Sheet1!$B$2:$B$10-Sheet1!$C$2:$C$10)*Sheet1!$B$2:$B$10)+2*$H$2*C183</f>
        <v>0.000000003828332022</v>
      </c>
    </row>
    <row r="184">
      <c r="A184" s="1">
        <v>182.0</v>
      </c>
      <c r="B184" s="4">
        <f t="shared" ref="B184:C184" si="182">B183-$H$1*E183</f>
        <v>2.46654038</v>
      </c>
      <c r="C184" s="4">
        <f t="shared" si="182"/>
        <v>1.178030305</v>
      </c>
      <c r="D184" s="4">
        <f>SUMPRODUCT((B184+C184*Sheet1!$B$2:$B$10-Sheet1!$C$2:$C$10)^2)/$H$3+$H$2*C184^2</f>
        <v>2.403374018</v>
      </c>
      <c r="E184" s="4">
        <f>2/$H$3*SUMPRODUCT(B184+C184*Sheet1!$B$2:$B$10-Sheet1!$C$2:$C$10)</f>
        <v>-0.00000004581732919</v>
      </c>
      <c r="F184" s="4">
        <f>2/$H$3*SUMPRODUCT((B184+C184*Sheet1!$B$2:$B$10-Sheet1!$C$2:$C$10)*Sheet1!$B$2:$B$10)+2*$H$2*C184</f>
        <v>0.000000003459951535</v>
      </c>
    </row>
    <row r="185">
      <c r="A185" s="1">
        <v>183.0</v>
      </c>
      <c r="B185" s="4">
        <f t="shared" ref="B185:C185" si="183">B184-$H$1*E184</f>
        <v>2.466540383</v>
      </c>
      <c r="C185" s="4">
        <f t="shared" si="183"/>
        <v>1.178030305</v>
      </c>
      <c r="D185" s="4">
        <f>SUMPRODUCT((B185+C185*Sheet1!$B$2:$B$10-Sheet1!$C$2:$C$10)^2)/$H$3+$H$2*C185^2</f>
        <v>2.403374018</v>
      </c>
      <c r="E185" s="4">
        <f>2/$H$3*SUMPRODUCT(B185+C185*Sheet1!$B$2:$B$10-Sheet1!$C$2:$C$10)</f>
        <v>-0.0000000414085933</v>
      </c>
      <c r="F185" s="4">
        <f>2/$H$3*SUMPRODUCT((B185+C185*Sheet1!$B$2:$B$10-Sheet1!$C$2:$C$10)*Sheet1!$B$2:$B$10)+2*$H$2*C185</f>
        <v>0.000000003127022394</v>
      </c>
    </row>
    <row r="186">
      <c r="A186" s="1">
        <v>184.0</v>
      </c>
      <c r="B186" s="4">
        <f t="shared" ref="B186:C186" si="184">B185-$H$1*E185</f>
        <v>2.466540385</v>
      </c>
      <c r="C186" s="4">
        <f t="shared" si="184"/>
        <v>1.178030304</v>
      </c>
      <c r="D186" s="4">
        <f>SUMPRODUCT((B186+C186*Sheet1!$B$2:$B$10-Sheet1!$C$2:$C$10)^2)/$H$3+$H$2*C186^2</f>
        <v>2.403374018</v>
      </c>
      <c r="E186" s="4">
        <f>2/$H$3*SUMPRODUCT(B186+C186*Sheet1!$B$2:$B$10-Sheet1!$C$2:$C$10)</f>
        <v>-0.00000003742408531</v>
      </c>
      <c r="F186" s="4">
        <f>2/$H$3*SUMPRODUCT((B186+C186*Sheet1!$B$2:$B$10-Sheet1!$C$2:$C$10)*Sheet1!$B$2:$B$10)+2*$H$2*C186</f>
        <v>0.000000002826125852</v>
      </c>
    </row>
    <row r="187">
      <c r="A187" s="1">
        <v>185.0</v>
      </c>
      <c r="B187" s="4">
        <f t="shared" ref="B187:C187" si="185">B186-$H$1*E186</f>
        <v>2.466540386</v>
      </c>
      <c r="C187" s="4">
        <f t="shared" si="185"/>
        <v>1.178030304</v>
      </c>
      <c r="D187" s="4">
        <f>SUMPRODUCT((B187+C187*Sheet1!$B$2:$B$10-Sheet1!$C$2:$C$10)^2)/$H$3+$H$2*C187^2</f>
        <v>2.403374018</v>
      </c>
      <c r="E187" s="4">
        <f>2/$H$3*SUMPRODUCT(B187+C187*Sheet1!$B$2:$B$10-Sheet1!$C$2:$C$10)</f>
        <v>-0.00000003382298343</v>
      </c>
      <c r="F187" s="4">
        <f>2/$H$3*SUMPRODUCT((B187+C187*Sheet1!$B$2:$B$10-Sheet1!$C$2:$C$10)*Sheet1!$B$2:$B$10)+2*$H$2*C187</f>
        <v>0.000000002554184222</v>
      </c>
    </row>
    <row r="188">
      <c r="A188" s="1">
        <v>186.0</v>
      </c>
      <c r="B188" s="4">
        <f t="shared" ref="B188:C188" si="186">B187-$H$1*E187</f>
        <v>2.466540388</v>
      </c>
      <c r="C188" s="4">
        <f t="shared" si="186"/>
        <v>1.178030304</v>
      </c>
      <c r="D188" s="4">
        <f>SUMPRODUCT((B188+C188*Sheet1!$B$2:$B$10-Sheet1!$C$2:$C$10)^2)/$H$3+$H$2*C188^2</f>
        <v>2.403374018</v>
      </c>
      <c r="E188" s="4">
        <f>2/$H$3*SUMPRODUCT(B188+C188*Sheet1!$B$2:$B$10-Sheet1!$C$2:$C$10)</f>
        <v>-0.00000003056839488</v>
      </c>
      <c r="F188" s="4">
        <f>2/$H$3*SUMPRODUCT((B188+C188*Sheet1!$B$2:$B$10-Sheet1!$C$2:$C$10)*Sheet1!$B$2:$B$10)+2*$H$2*C188</f>
        <v>0.000000002308409908</v>
      </c>
    </row>
    <row r="189">
      <c r="A189" s="1">
        <v>187.0</v>
      </c>
      <c r="B189" s="4">
        <f t="shared" ref="B189:C189" si="187">B188-$H$1*E188</f>
        <v>2.46654039</v>
      </c>
      <c r="C189" s="4">
        <f t="shared" si="187"/>
        <v>1.178030304</v>
      </c>
      <c r="D189" s="4">
        <f>SUMPRODUCT((B189+C189*Sheet1!$B$2:$B$10-Sheet1!$C$2:$C$10)^2)/$H$3+$H$2*C189^2</f>
        <v>2.403374018</v>
      </c>
      <c r="E189" s="4">
        <f>2/$H$3*SUMPRODUCT(B189+C189*Sheet1!$B$2:$B$10-Sheet1!$C$2:$C$10)</f>
        <v>-0.00000002762697611</v>
      </c>
      <c r="F189" s="4">
        <f>2/$H$3*SUMPRODUCT((B189+C189*Sheet1!$B$2:$B$10-Sheet1!$C$2:$C$10)*Sheet1!$B$2:$B$10)+2*$H$2*C189</f>
        <v>0.000000002086284873</v>
      </c>
    </row>
    <row r="190">
      <c r="A190" s="1">
        <v>188.0</v>
      </c>
      <c r="B190" s="4">
        <f t="shared" ref="B190:C190" si="188">B189-$H$1*E189</f>
        <v>2.466540391</v>
      </c>
      <c r="C190" s="4">
        <f t="shared" si="188"/>
        <v>1.178030304</v>
      </c>
      <c r="D190" s="4">
        <f>SUMPRODUCT((B190+C190*Sheet1!$B$2:$B$10-Sheet1!$C$2:$C$10)^2)/$H$3+$H$2*C190^2</f>
        <v>2.403374018</v>
      </c>
      <c r="E190" s="4">
        <f>2/$H$3*SUMPRODUCT(B190+C190*Sheet1!$B$2:$B$10-Sheet1!$C$2:$C$10)</f>
        <v>-0.00000002496859248</v>
      </c>
      <c r="F190" s="4">
        <f>2/$H$3*SUMPRODUCT((B190+C190*Sheet1!$B$2:$B$10-Sheet1!$C$2:$C$10)*Sheet1!$B$2:$B$10)+2*$H$2*C190</f>
        <v>0.000000001885534445</v>
      </c>
    </row>
    <row r="191">
      <c r="A191" s="1">
        <v>189.0</v>
      </c>
      <c r="B191" s="4">
        <f t="shared" ref="B191:C191" si="189">B190-$H$1*E190</f>
        <v>2.466540392</v>
      </c>
      <c r="C191" s="4">
        <f t="shared" si="189"/>
        <v>1.178030304</v>
      </c>
      <c r="D191" s="4">
        <f>SUMPRODUCT((B191+C191*Sheet1!$B$2:$B$10-Sheet1!$C$2:$C$10)^2)/$H$3+$H$2*C191^2</f>
        <v>2.403374018</v>
      </c>
      <c r="E191" s="4">
        <f>2/$H$3*SUMPRODUCT(B191+C191*Sheet1!$B$2:$B$10-Sheet1!$C$2:$C$10)</f>
        <v>-0.0000000225660099</v>
      </c>
      <c r="F191" s="4">
        <f>2/$H$3*SUMPRODUCT((B191+C191*Sheet1!$B$2:$B$10-Sheet1!$C$2:$C$10)*Sheet1!$B$2:$B$10)+2*$H$2*C191</f>
        <v>0.000000001704098393</v>
      </c>
    </row>
    <row r="192">
      <c r="A192" s="1">
        <v>190.0</v>
      </c>
      <c r="B192" s="4">
        <f t="shared" ref="B192:C192" si="190">B191-$H$1*E191</f>
        <v>2.466540393</v>
      </c>
      <c r="C192" s="4">
        <f t="shared" si="190"/>
        <v>1.178030304</v>
      </c>
      <c r="D192" s="4">
        <f>SUMPRODUCT((B192+C192*Sheet1!$B$2:$B$10-Sheet1!$C$2:$C$10)^2)/$H$3+$H$2*C192^2</f>
        <v>2.403374018</v>
      </c>
      <c r="E192" s="4">
        <f>2/$H$3*SUMPRODUCT(B192+C192*Sheet1!$B$2:$B$10-Sheet1!$C$2:$C$10)</f>
        <v>-0.00000002039461385</v>
      </c>
      <c r="F192" s="4">
        <f>2/$H$3*SUMPRODUCT((B192+C192*Sheet1!$B$2:$B$10-Sheet1!$C$2:$C$10)*Sheet1!$B$2:$B$10)+2*$H$2*C192</f>
        <v>0.000000001540123239</v>
      </c>
    </row>
    <row r="193">
      <c r="A193" s="1">
        <v>191.0</v>
      </c>
      <c r="B193" s="4">
        <f t="shared" ref="B193:C193" si="191">B192-$H$1*E192</f>
        <v>2.466540394</v>
      </c>
      <c r="C193" s="4">
        <f t="shared" si="191"/>
        <v>1.178030304</v>
      </c>
      <c r="D193" s="4">
        <f>SUMPRODUCT((B193+C193*Sheet1!$B$2:$B$10-Sheet1!$C$2:$C$10)^2)/$H$3+$H$2*C193^2</f>
        <v>2.403374018</v>
      </c>
      <c r="E193" s="4">
        <f>2/$H$3*SUMPRODUCT(B193+C193*Sheet1!$B$2:$B$10-Sheet1!$C$2:$C$10)</f>
        <v>-0.00000001843215861</v>
      </c>
      <c r="F193" s="4">
        <f>2/$H$3*SUMPRODUCT((B193+C193*Sheet1!$B$2:$B$10-Sheet1!$C$2:$C$10)*Sheet1!$B$2:$B$10)+2*$H$2*C193</f>
        <v>0.000000001391928153</v>
      </c>
    </row>
    <row r="194">
      <c r="A194" s="1">
        <v>192.0</v>
      </c>
      <c r="B194" s="4">
        <f t="shared" ref="B194:C194" si="192">B193-$H$1*E193</f>
        <v>2.466540395</v>
      </c>
      <c r="C194" s="4">
        <f t="shared" si="192"/>
        <v>1.178030304</v>
      </c>
      <c r="D194" s="4">
        <f>SUMPRODUCT((B194+C194*Sheet1!$B$2:$B$10-Sheet1!$C$2:$C$10)^2)/$H$3+$H$2*C194^2</f>
        <v>2.403374018</v>
      </c>
      <c r="E194" s="4">
        <f>2/$H$3*SUMPRODUCT(B194+C194*Sheet1!$B$2:$B$10-Sheet1!$C$2:$C$10)</f>
        <v>-0.00000001665853904</v>
      </c>
      <c r="F194" s="4">
        <f>2/$H$3*SUMPRODUCT((B194+C194*Sheet1!$B$2:$B$10-Sheet1!$C$2:$C$10)*Sheet1!$B$2:$B$10)+2*$H$2*C194</f>
        <v>0.000000001257990453</v>
      </c>
    </row>
    <row r="195">
      <c r="A195" s="1">
        <v>193.0</v>
      </c>
      <c r="B195" s="4">
        <f t="shared" ref="B195:C195" si="193">B194-$H$1*E194</f>
        <v>2.466540396</v>
      </c>
      <c r="C195" s="4">
        <f t="shared" si="193"/>
        <v>1.178030304</v>
      </c>
      <c r="D195" s="4">
        <f>SUMPRODUCT((B195+C195*Sheet1!$B$2:$B$10-Sheet1!$C$2:$C$10)^2)/$H$3+$H$2*C195^2</f>
        <v>2.403374018</v>
      </c>
      <c r="E195" s="4">
        <f>2/$H$3*SUMPRODUCT(B195+C195*Sheet1!$B$2:$B$10-Sheet1!$C$2:$C$10)</f>
        <v>-0.00000001505558433</v>
      </c>
      <c r="F195" s="4">
        <f>2/$H$3*SUMPRODUCT((B195+C195*Sheet1!$B$2:$B$10-Sheet1!$C$2:$C$10)*Sheet1!$B$2:$B$10)+2*$H$2*C195</f>
        <v>0.000000001136942589</v>
      </c>
    </row>
    <row r="196">
      <c r="A196" s="1">
        <v>194.0</v>
      </c>
      <c r="B196" s="4">
        <f t="shared" ref="B196:C196" si="194">B195-$H$1*E195</f>
        <v>2.466540397</v>
      </c>
      <c r="C196" s="4">
        <f t="shared" si="194"/>
        <v>1.178030304</v>
      </c>
      <c r="D196" s="4">
        <f>SUMPRODUCT((B196+C196*Sheet1!$B$2:$B$10-Sheet1!$C$2:$C$10)^2)/$H$3+$H$2*C196^2</f>
        <v>2.403374018</v>
      </c>
      <c r="E196" s="4">
        <f>2/$H$3*SUMPRODUCT(B196+C196*Sheet1!$B$2:$B$10-Sheet1!$C$2:$C$10)</f>
        <v>-0.00000001360687301</v>
      </c>
      <c r="F196" s="4">
        <f>2/$H$3*SUMPRODUCT((B196+C196*Sheet1!$B$2:$B$10-Sheet1!$C$2:$C$10)*Sheet1!$B$2:$B$10)+2*$H$2*C196</f>
        <v>0.00000000102753988</v>
      </c>
    </row>
    <row r="197">
      <c r="A197" s="1">
        <v>195.0</v>
      </c>
      <c r="B197" s="4">
        <f t="shared" ref="B197:C197" si="195">B196-$H$1*E196</f>
        <v>2.466540398</v>
      </c>
      <c r="C197" s="4">
        <f t="shared" si="195"/>
        <v>1.178030304</v>
      </c>
      <c r="D197" s="4">
        <f>SUMPRODUCT((B197+C197*Sheet1!$B$2:$B$10-Sheet1!$C$2:$C$10)^2)/$H$3+$H$2*C197^2</f>
        <v>2.403374018</v>
      </c>
      <c r="E197" s="4">
        <f>2/$H$3*SUMPRODUCT(B197+C197*Sheet1!$B$2:$B$10-Sheet1!$C$2:$C$10)</f>
        <v>-0.00000001229756247</v>
      </c>
      <c r="F197" s="4">
        <f>2/$H$3*SUMPRODUCT((B197+C197*Sheet1!$B$2:$B$10-Sheet1!$C$2:$C$10)*Sheet1!$B$2:$B$10)+2*$H$2*C197</f>
        <v>0.0000000009286671185</v>
      </c>
    </row>
    <row r="198">
      <c r="A198" s="1">
        <v>196.0</v>
      </c>
      <c r="B198" s="4">
        <f t="shared" ref="B198:C198" si="196">B197-$H$1*E197</f>
        <v>2.466540398</v>
      </c>
      <c r="C198" s="4">
        <f t="shared" si="196"/>
        <v>1.178030303</v>
      </c>
      <c r="D198" s="4">
        <f>SUMPRODUCT((B198+C198*Sheet1!$B$2:$B$10-Sheet1!$C$2:$C$10)^2)/$H$3+$H$2*C198^2</f>
        <v>2.403374018</v>
      </c>
      <c r="E198" s="4">
        <f>2/$H$3*SUMPRODUCT(B198+C198*Sheet1!$B$2:$B$10-Sheet1!$C$2:$C$10)</f>
        <v>-0.00000001111423985</v>
      </c>
      <c r="F198" s="4">
        <f>2/$H$3*SUMPRODUCT((B198+C198*Sheet1!$B$2:$B$10-Sheet1!$C$2:$C$10)*Sheet1!$B$2:$B$10)+2*$H$2*C198</f>
        <v>0.0000000008393065502</v>
      </c>
    </row>
    <row r="199">
      <c r="A199" s="1">
        <v>197.0</v>
      </c>
      <c r="B199" s="4">
        <f t="shared" ref="B199:C199" si="197">B198-$H$1*E198</f>
        <v>2.466540399</v>
      </c>
      <c r="C199" s="4">
        <f t="shared" si="197"/>
        <v>1.178030303</v>
      </c>
      <c r="D199" s="4">
        <f>SUMPRODUCT((B199+C199*Sheet1!$B$2:$B$10-Sheet1!$C$2:$C$10)^2)/$H$3+$H$2*C199^2</f>
        <v>2.403374018</v>
      </c>
      <c r="E199" s="4">
        <f>2/$H$3*SUMPRODUCT(B199+C199*Sheet1!$B$2:$B$10-Sheet1!$C$2:$C$10)</f>
        <v>-0.0000000100447816</v>
      </c>
      <c r="F199" s="4">
        <f>2/$H$3*SUMPRODUCT((B199+C199*Sheet1!$B$2:$B$10-Sheet1!$C$2:$C$10)*Sheet1!$B$2:$B$10)+2*$H$2*C199</f>
        <v>0.0000000007585432529</v>
      </c>
    </row>
    <row r="200">
      <c r="A200" s="1">
        <v>198.0</v>
      </c>
      <c r="B200" s="4">
        <f t="shared" ref="B200:C200" si="198">B199-$H$1*E199</f>
        <v>2.466540399</v>
      </c>
      <c r="C200" s="4">
        <f t="shared" si="198"/>
        <v>1.178030303</v>
      </c>
      <c r="D200" s="4">
        <f>SUMPRODUCT((B200+C200*Sheet1!$B$2:$B$10-Sheet1!$C$2:$C$10)^2)/$H$3+$H$2*C200^2</f>
        <v>2.403374018</v>
      </c>
      <c r="E200" s="4">
        <f>2/$H$3*SUMPRODUCT(B200+C200*Sheet1!$B$2:$B$10-Sheet1!$C$2:$C$10)</f>
        <v>-0.000000009078230365</v>
      </c>
      <c r="F200" s="4">
        <f>2/$H$3*SUMPRODUCT((B200+C200*Sheet1!$B$2:$B$10-Sheet1!$C$2:$C$10)*Sheet1!$B$2:$B$10)+2*$H$2*C200</f>
        <v>0.0000000006855537866</v>
      </c>
    </row>
    <row r="201">
      <c r="A201" s="1">
        <v>199.0</v>
      </c>
      <c r="B201" s="4">
        <f t="shared" ref="B201:C201" si="199">B200-$H$1*E200</f>
        <v>2.4665404</v>
      </c>
      <c r="C201" s="4">
        <f t="shared" si="199"/>
        <v>1.178030303</v>
      </c>
      <c r="D201" s="4">
        <f>SUMPRODUCT((B201+C201*Sheet1!$B$2:$B$10-Sheet1!$C$2:$C$10)^2)/$H$3+$H$2*C201^2</f>
        <v>2.403374018</v>
      </c>
      <c r="E201" s="4">
        <f>2/$H$3*SUMPRODUCT(B201+C201*Sheet1!$B$2:$B$10-Sheet1!$C$2:$C$10)</f>
        <v>-0.000000008204684833</v>
      </c>
      <c r="F201" s="4">
        <f>2/$H$3*SUMPRODUCT((B201+C201*Sheet1!$B$2:$B$10-Sheet1!$C$2:$C$10)*Sheet1!$B$2:$B$10)+2*$H$2*C201</f>
        <v>0.0000000006195875418</v>
      </c>
    </row>
    <row r="202">
      <c r="A202" s="1">
        <v>200.0</v>
      </c>
      <c r="B202" s="4">
        <f t="shared" ref="B202:C202" si="200">B201-$H$1*E201</f>
        <v>2.4665404</v>
      </c>
      <c r="C202" s="4">
        <f t="shared" si="200"/>
        <v>1.178030303</v>
      </c>
      <c r="D202" s="4">
        <f>SUMPRODUCT((B202+C202*Sheet1!$B$2:$B$10-Sheet1!$C$2:$C$10)^2)/$H$3+$H$2*C202^2</f>
        <v>2.403374018</v>
      </c>
      <c r="E202" s="4">
        <f>2/$H$3*SUMPRODUCT(B202+C202*Sheet1!$B$2:$B$10-Sheet1!$C$2:$C$10)</f>
        <v>-0.00000000741519621</v>
      </c>
      <c r="F202" s="4">
        <f>2/$H$3*SUMPRODUCT((B202+C202*Sheet1!$B$2:$B$10-Sheet1!$C$2:$C$10)*Sheet1!$B$2:$B$10)+2*$H$2*C202</f>
        <v>0.0000000005599664436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2022-06-08T12:16:01Z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0x010100EE735A4F9ACE4D45BFA6D9FE3A8AEAD3</vt:lpwstr>
  </property>
  <property fmtid="{D5CDD505-2E9C-101B-9397-08002B2CF9AE}" pid="3" name="MediaServiceImageTags">
    <vt:lpwstr/>
  </property>
</Properties>
</file>